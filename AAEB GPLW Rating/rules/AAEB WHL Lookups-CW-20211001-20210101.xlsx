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asye/Downloads/"/>
    </mc:Choice>
  </mc:AlternateContent>
  <xr:revisionPtr revIDLastSave="0" documentId="13_ncr:1_{03AFCC06-0D32-4E45-993A-52A9DB879EAE}" xr6:coauthVersionLast="47" xr6:coauthVersionMax="47" xr10:uidLastSave="{00000000-0000-0000-0000-000000000000}"/>
  <bookViews>
    <workbookView xWindow="62500" yWindow="7020" windowWidth="30040" windowHeight="24860" activeTab="3" xr2:uid="{799AB937-EEAF-44AE-AB83-7507F9B533E3}"/>
  </bookViews>
  <sheets>
    <sheet name="Raw Rates" sheetId="2" r:id="rId1"/>
    <sheet name="Assumptions" sheetId="19" r:id="rId2"/>
    <sheet name="Monthly rates" sheetId="3" r:id="rId3"/>
    <sheet name="Annual Premiums" sheetId="4" r:id="rId4"/>
    <sheet name="Age Band Distribution" sheetId="16" r:id="rId5"/>
    <sheet name="Factors" sheetId="15" r:id="rId6"/>
    <sheet name="Other" sheetId="20" r:id="rId7"/>
    <sheet name="Env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19" l="1"/>
  <c r="O11" i="19"/>
  <c r="N6" i="4" l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</calcChain>
</file>

<file path=xl/sharedStrings.xml><?xml version="1.0" encoding="utf-8"?>
<sst xmlns="http://schemas.openxmlformats.org/spreadsheetml/2006/main" count="2173" uniqueCount="2095">
  <si>
    <t>Age</t>
  </si>
  <si>
    <t>Monthly Rate</t>
  </si>
  <si>
    <t>Annual Premium Constance</t>
  </si>
  <si>
    <t>//R2</t>
  </si>
  <si>
    <t>//R6</t>
  </si>
  <si>
    <t>//R11</t>
  </si>
  <si>
    <t>//R1</t>
  </si>
  <si>
    <t>//R7</t>
  </si>
  <si>
    <t>//R8</t>
  </si>
  <si>
    <t>//Base</t>
  </si>
  <si>
    <t>//R9</t>
  </si>
  <si>
    <t>//R10</t>
  </si>
  <si>
    <t>Environment</t>
  </si>
  <si>
    <t>dependency</t>
  </si>
  <si>
    <r>
      <rPr>
        <sz val="10"/>
        <color theme="0" tint="-0.499984740745262"/>
        <rFont val="Franklin Gothic Book"/>
        <family val="2"/>
      </rPr>
      <t xml:space="preserve">SmartRules Double </t>
    </r>
    <r>
      <rPr>
        <b/>
        <sz val="10"/>
        <rFont val="Franklin Gothic Book"/>
        <family val="2"/>
      </rPr>
      <t xml:space="preserve">CaseSizeFactor </t>
    </r>
    <r>
      <rPr>
        <sz val="10"/>
        <color theme="0" tint="-0.499984740745262"/>
        <rFont val="Franklin Gothic Book"/>
        <family val="2"/>
      </rPr>
      <t>( Integer numberOfLives )</t>
    </r>
  </si>
  <si>
    <t>Number of Lives</t>
  </si>
  <si>
    <t>Factor</t>
  </si>
  <si>
    <t>1 - 9</t>
  </si>
  <si>
    <t>10 - 14</t>
  </si>
  <si>
    <t>15 - 24</t>
  </si>
  <si>
    <t>25 - 49</t>
  </si>
  <si>
    <t>50 - 99</t>
  </si>
  <si>
    <t>100 - 149</t>
  </si>
  <si>
    <t>150 - 199</t>
  </si>
  <si>
    <t>200 - 249</t>
  </si>
  <si>
    <t>250 - 299</t>
  </si>
  <si>
    <t>300 - 499</t>
  </si>
  <si>
    <t>500 - 749</t>
  </si>
  <si>
    <t>750 - 999</t>
  </si>
  <si>
    <t>1000 - 1249</t>
  </si>
  <si>
    <t>1250 - 1999</t>
  </si>
  <si>
    <t>2000+</t>
  </si>
  <si>
    <t>Age Band</t>
  </si>
  <si>
    <t>Percentage</t>
  </si>
  <si>
    <t>25 - 29</t>
  </si>
  <si>
    <t>30 - 34</t>
  </si>
  <si>
    <t>35 - 39</t>
  </si>
  <si>
    <t>40 - 44</t>
  </si>
  <si>
    <t>45 - 49</t>
  </si>
  <si>
    <t>50 - 54</t>
  </si>
  <si>
    <t>55 - 59</t>
  </si>
  <si>
    <t>Tobacco</t>
  </si>
  <si>
    <t>NonTobacco</t>
  </si>
  <si>
    <t>UniTobacco</t>
  </si>
  <si>
    <t>Value</t>
  </si>
  <si>
    <t>F</t>
  </si>
  <si>
    <t xml:space="preserve">M </t>
  </si>
  <si>
    <r>
      <rPr>
        <sz val="10"/>
        <color theme="0" tint="-0.499984740745262"/>
        <rFont val="Franklin Gothic Book"/>
        <family val="2"/>
      </rPr>
      <t xml:space="preserve">SmartRules Double </t>
    </r>
    <r>
      <rPr>
        <b/>
        <sz val="10"/>
        <rFont val="Franklin Gothic Book"/>
        <family val="2"/>
      </rPr>
      <t xml:space="preserve">IndustryFactor </t>
    </r>
    <r>
      <rPr>
        <sz val="10"/>
        <color theme="0" tint="-0.499984740745262"/>
        <rFont val="Franklin Gothic Book"/>
        <family val="2"/>
      </rPr>
      <t>( SICCode sicCode )</t>
    </r>
  </si>
  <si>
    <t>SIC</t>
  </si>
  <si>
    <t>0000</t>
  </si>
  <si>
    <t>0111</t>
  </si>
  <si>
    <t>0112</t>
  </si>
  <si>
    <t>0115</t>
  </si>
  <si>
    <t>0116</t>
  </si>
  <si>
    <t>0119</t>
  </si>
  <si>
    <t>0131</t>
  </si>
  <si>
    <t>0132</t>
  </si>
  <si>
    <t>0133</t>
  </si>
  <si>
    <t>0134</t>
  </si>
  <si>
    <t>0139</t>
  </si>
  <si>
    <t>0161</t>
  </si>
  <si>
    <t>0171</t>
  </si>
  <si>
    <t>0172</t>
  </si>
  <si>
    <t>0173</t>
  </si>
  <si>
    <t>0174</t>
  </si>
  <si>
    <t>0175</t>
  </si>
  <si>
    <t>0179</t>
  </si>
  <si>
    <t>0181</t>
  </si>
  <si>
    <t>0182</t>
  </si>
  <si>
    <t>0191</t>
  </si>
  <si>
    <t>0211</t>
  </si>
  <si>
    <t>0212</t>
  </si>
  <si>
    <t>0213</t>
  </si>
  <si>
    <t>0214</t>
  </si>
  <si>
    <t>0219</t>
  </si>
  <si>
    <t>0241</t>
  </si>
  <si>
    <t>0251</t>
  </si>
  <si>
    <t>0252</t>
  </si>
  <si>
    <t>0253</t>
  </si>
  <si>
    <t>0254</t>
  </si>
  <si>
    <t>0259</t>
  </si>
  <si>
    <t>0271</t>
  </si>
  <si>
    <t>0272</t>
  </si>
  <si>
    <t>0273</t>
  </si>
  <si>
    <t>0279</t>
  </si>
  <si>
    <t>0291</t>
  </si>
  <si>
    <t>0711</t>
  </si>
  <si>
    <t>0721</t>
  </si>
  <si>
    <t>0722</t>
  </si>
  <si>
    <t>0723</t>
  </si>
  <si>
    <t>0724</t>
  </si>
  <si>
    <t>0741</t>
  </si>
  <si>
    <t>0742</t>
  </si>
  <si>
    <t>0751</t>
  </si>
  <si>
    <t>0752</t>
  </si>
  <si>
    <t>0761</t>
  </si>
  <si>
    <t>0762</t>
  </si>
  <si>
    <t>0781</t>
  </si>
  <si>
    <t>0782</t>
  </si>
  <si>
    <t>0783</t>
  </si>
  <si>
    <t>0811</t>
  </si>
  <si>
    <t>0831</t>
  </si>
  <si>
    <t>0851</t>
  </si>
  <si>
    <t>0912</t>
  </si>
  <si>
    <t>0913</t>
  </si>
  <si>
    <t>0919</t>
  </si>
  <si>
    <t>0921</t>
  </si>
  <si>
    <t>0971</t>
  </si>
  <si>
    <t>1011</t>
  </si>
  <si>
    <t>1021</t>
  </si>
  <si>
    <t>1031</t>
  </si>
  <si>
    <t>1041</t>
  </si>
  <si>
    <t>1044</t>
  </si>
  <si>
    <t>1061</t>
  </si>
  <si>
    <t>1081</t>
  </si>
  <si>
    <t>1094</t>
  </si>
  <si>
    <t>1099</t>
  </si>
  <si>
    <t>1221</t>
  </si>
  <si>
    <t>1222</t>
  </si>
  <si>
    <t>1231</t>
  </si>
  <si>
    <t>1241</t>
  </si>
  <si>
    <t>1311</t>
  </si>
  <si>
    <t>1321</t>
  </si>
  <si>
    <t>1381</t>
  </si>
  <si>
    <t>1382</t>
  </si>
  <si>
    <t>1389</t>
  </si>
  <si>
    <t>1411</t>
  </si>
  <si>
    <t>1422</t>
  </si>
  <si>
    <t>1423</t>
  </si>
  <si>
    <t>1429</t>
  </si>
  <si>
    <t>1442</t>
  </si>
  <si>
    <t>1446</t>
  </si>
  <si>
    <t>1455</t>
  </si>
  <si>
    <t>1459</t>
  </si>
  <si>
    <t>1474</t>
  </si>
  <si>
    <t>1475</t>
  </si>
  <si>
    <t>1479</t>
  </si>
  <si>
    <t>1481</t>
  </si>
  <si>
    <t>1499</t>
  </si>
  <si>
    <t>1521</t>
  </si>
  <si>
    <t>1522</t>
  </si>
  <si>
    <t>1531</t>
  </si>
  <si>
    <t>1541</t>
  </si>
  <si>
    <t>1542</t>
  </si>
  <si>
    <t>1611</t>
  </si>
  <si>
    <t>1622</t>
  </si>
  <si>
    <t>1623</t>
  </si>
  <si>
    <t>1629</t>
  </si>
  <si>
    <t>1711</t>
  </si>
  <si>
    <t>1721</t>
  </si>
  <si>
    <t>1731</t>
  </si>
  <si>
    <t>1741</t>
  </si>
  <si>
    <t>1742</t>
  </si>
  <si>
    <t>1743</t>
  </si>
  <si>
    <t>1751</t>
  </si>
  <si>
    <t>1752</t>
  </si>
  <si>
    <t>1761</t>
  </si>
  <si>
    <t>1771</t>
  </si>
  <si>
    <t>1781</t>
  </si>
  <si>
    <t>1791</t>
  </si>
  <si>
    <t>1793</t>
  </si>
  <si>
    <t>1794</t>
  </si>
  <si>
    <t>1795</t>
  </si>
  <si>
    <t>1796</t>
  </si>
  <si>
    <t>1799</t>
  </si>
  <si>
    <t>2011</t>
  </si>
  <si>
    <t>2013</t>
  </si>
  <si>
    <t>2015</t>
  </si>
  <si>
    <t>2021</t>
  </si>
  <si>
    <t>2022</t>
  </si>
  <si>
    <t>2023</t>
  </si>
  <si>
    <t>2024</t>
  </si>
  <si>
    <t>2026</t>
  </si>
  <si>
    <t>2032</t>
  </si>
  <si>
    <t>2033</t>
  </si>
  <si>
    <t>2034</t>
  </si>
  <si>
    <t>2035</t>
  </si>
  <si>
    <t>2037</t>
  </si>
  <si>
    <t>2038</t>
  </si>
  <si>
    <t>2041</t>
  </si>
  <si>
    <t>2043</t>
  </si>
  <si>
    <t>2044</t>
  </si>
  <si>
    <t>2045</t>
  </si>
  <si>
    <t>2046</t>
  </si>
  <si>
    <t>2047</t>
  </si>
  <si>
    <t>2048</t>
  </si>
  <si>
    <t>2051</t>
  </si>
  <si>
    <t>2052</t>
  </si>
  <si>
    <t>2053</t>
  </si>
  <si>
    <t>2061</t>
  </si>
  <si>
    <t>2062</t>
  </si>
  <si>
    <t>2063</t>
  </si>
  <si>
    <t>2064</t>
  </si>
  <si>
    <t>2066</t>
  </si>
  <si>
    <t>2067</t>
  </si>
  <si>
    <t>2068</t>
  </si>
  <si>
    <t>2074</t>
  </si>
  <si>
    <t>2075</t>
  </si>
  <si>
    <t>2076</t>
  </si>
  <si>
    <t>2077</t>
  </si>
  <si>
    <t>2079</t>
  </si>
  <si>
    <t>2082</t>
  </si>
  <si>
    <t>2083</t>
  </si>
  <si>
    <t>2084</t>
  </si>
  <si>
    <t>2085</t>
  </si>
  <si>
    <t>2086</t>
  </si>
  <si>
    <t>2087</t>
  </si>
  <si>
    <t>2091</t>
  </si>
  <si>
    <t>2092</t>
  </si>
  <si>
    <t>2095</t>
  </si>
  <si>
    <t>2096</t>
  </si>
  <si>
    <t>2097</t>
  </si>
  <si>
    <t>2098</t>
  </si>
  <si>
    <t>2099</t>
  </si>
  <si>
    <t>2111</t>
  </si>
  <si>
    <t>2121</t>
  </si>
  <si>
    <t>2131</t>
  </si>
  <si>
    <t>2141</t>
  </si>
  <si>
    <t>2211</t>
  </si>
  <si>
    <t>2221</t>
  </si>
  <si>
    <t>2231</t>
  </si>
  <si>
    <t>2241</t>
  </si>
  <si>
    <t>2251</t>
  </si>
  <si>
    <t>2252</t>
  </si>
  <si>
    <t>2253</t>
  </si>
  <si>
    <t>2254</t>
  </si>
  <si>
    <t>2257</t>
  </si>
  <si>
    <t>2258</t>
  </si>
  <si>
    <t>2259</t>
  </si>
  <si>
    <t>2261</t>
  </si>
  <si>
    <t>2262</t>
  </si>
  <si>
    <t>2269</t>
  </si>
  <si>
    <t>2273</t>
  </si>
  <si>
    <t>2281</t>
  </si>
  <si>
    <t>2282</t>
  </si>
  <si>
    <t>2284</t>
  </si>
  <si>
    <t>2295</t>
  </si>
  <si>
    <t>2296</t>
  </si>
  <si>
    <t>2297</t>
  </si>
  <si>
    <t>2298</t>
  </si>
  <si>
    <t>2299</t>
  </si>
  <si>
    <t>2311</t>
  </si>
  <si>
    <t>2321</t>
  </si>
  <si>
    <t>2322</t>
  </si>
  <si>
    <t>2323</t>
  </si>
  <si>
    <t>2325</t>
  </si>
  <si>
    <t>2326</t>
  </si>
  <si>
    <t>2329</t>
  </si>
  <si>
    <t>2331</t>
  </si>
  <si>
    <t>2335</t>
  </si>
  <si>
    <t>2337</t>
  </si>
  <si>
    <t>2339</t>
  </si>
  <si>
    <t>2341</t>
  </si>
  <si>
    <t>2342</t>
  </si>
  <si>
    <t>2353</t>
  </si>
  <si>
    <t>2361</t>
  </si>
  <si>
    <t>2369</t>
  </si>
  <si>
    <t>2371</t>
  </si>
  <si>
    <t>2381</t>
  </si>
  <si>
    <t>2384</t>
  </si>
  <si>
    <t>2385</t>
  </si>
  <si>
    <t>2386</t>
  </si>
  <si>
    <t>2387</t>
  </si>
  <si>
    <t>2389</t>
  </si>
  <si>
    <t>2391</t>
  </si>
  <si>
    <t>2392</t>
  </si>
  <si>
    <t>2393</t>
  </si>
  <si>
    <t>2394</t>
  </si>
  <si>
    <t>2395</t>
  </si>
  <si>
    <t>2396</t>
  </si>
  <si>
    <t>2397</t>
  </si>
  <si>
    <t>2399</t>
  </si>
  <si>
    <t>2411</t>
  </si>
  <si>
    <t>2421</t>
  </si>
  <si>
    <t>2426</t>
  </si>
  <si>
    <t>2429</t>
  </si>
  <si>
    <t>2431</t>
  </si>
  <si>
    <t>2434</t>
  </si>
  <si>
    <t>2435</t>
  </si>
  <si>
    <t>2436</t>
  </si>
  <si>
    <t>2439</t>
  </si>
  <si>
    <t>2441</t>
  </si>
  <si>
    <t>2448</t>
  </si>
  <si>
    <t>2449</t>
  </si>
  <si>
    <t>2451</t>
  </si>
  <si>
    <t>2452</t>
  </si>
  <si>
    <t>2491</t>
  </si>
  <si>
    <t>2493</t>
  </si>
  <si>
    <t>2499</t>
  </si>
  <si>
    <t>2511</t>
  </si>
  <si>
    <t>2512</t>
  </si>
  <si>
    <t>2514</t>
  </si>
  <si>
    <t>2515</t>
  </si>
  <si>
    <t>2517</t>
  </si>
  <si>
    <t>2519</t>
  </si>
  <si>
    <t>2521</t>
  </si>
  <si>
    <t>2522</t>
  </si>
  <si>
    <t>2531</t>
  </si>
  <si>
    <t>2541</t>
  </si>
  <si>
    <t>2542</t>
  </si>
  <si>
    <t>2591</t>
  </si>
  <si>
    <t>2599</t>
  </si>
  <si>
    <t>2611</t>
  </si>
  <si>
    <t>2621</t>
  </si>
  <si>
    <t>2631</t>
  </si>
  <si>
    <t>2652</t>
  </si>
  <si>
    <t>2653</t>
  </si>
  <si>
    <t>2655</t>
  </si>
  <si>
    <t>2656</t>
  </si>
  <si>
    <t>2657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</si>
  <si>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</si>
  <si>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</si>
  <si>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</si>
  <si>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</si>
  <si>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</si>
  <si>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</si>
  <si>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</si>
  <si>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</si>
  <si>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</si>
  <si>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2711</t>
  </si>
  <si>
    <t>2721</t>
  </si>
  <si>
    <t>2731</t>
  </si>
  <si>
    <t>2732</t>
  </si>
  <si>
    <t>2741</t>
  </si>
  <si>
    <t>2752</t>
  </si>
  <si>
    <t>2754</t>
  </si>
  <si>
    <t>2759</t>
  </si>
  <si>
    <t>2761</t>
  </si>
  <si>
    <t>2771</t>
  </si>
  <si>
    <t>2782</t>
  </si>
  <si>
    <t>2789</t>
  </si>
  <si>
    <t>2791</t>
  </si>
  <si>
    <t>2796</t>
  </si>
  <si>
    <t>2812</t>
  </si>
  <si>
    <t>2813</t>
  </si>
  <si>
    <t>2816</t>
  </si>
  <si>
    <t>2819</t>
  </si>
  <si>
    <t>2821</t>
  </si>
  <si>
    <t>2822</t>
  </si>
  <si>
    <t>2823</t>
  </si>
  <si>
    <t>2824</t>
  </si>
  <si>
    <t>2833</t>
  </si>
  <si>
    <t>2834</t>
  </si>
  <si>
    <t>2835</t>
  </si>
  <si>
    <t>2836</t>
  </si>
  <si>
    <t>2841</t>
  </si>
  <si>
    <t>2842</t>
  </si>
  <si>
    <t>2843</t>
  </si>
  <si>
    <t>2844</t>
  </si>
  <si>
    <t>2851</t>
  </si>
  <si>
    <t>2861</t>
  </si>
  <si>
    <t>2865</t>
  </si>
  <si>
    <t>2869</t>
  </si>
  <si>
    <t>2873</t>
  </si>
  <si>
    <t>2874</t>
  </si>
  <si>
    <t>2875</t>
  </si>
  <si>
    <t>2879</t>
  </si>
  <si>
    <t>2891</t>
  </si>
  <si>
    <t>2892</t>
  </si>
  <si>
    <t>2893</t>
  </si>
  <si>
    <t>2895</t>
  </si>
  <si>
    <t>2899</t>
  </si>
  <si>
    <t>2911</t>
  </si>
  <si>
    <t>2951</t>
  </si>
  <si>
    <t>2952</t>
  </si>
  <si>
    <t>2992</t>
  </si>
  <si>
    <t>2999</t>
  </si>
  <si>
    <t>3011</t>
  </si>
  <si>
    <t>3021</t>
  </si>
  <si>
    <t>3052</t>
  </si>
  <si>
    <t>3053</t>
  </si>
  <si>
    <t>3061</t>
  </si>
  <si>
    <t>3069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</si>
  <si>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</si>
  <si>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</si>
  <si>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</si>
  <si>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</si>
  <si>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</si>
  <si>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</si>
  <si>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</si>
  <si>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</si>
  <si>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</si>
  <si>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3111</t>
  </si>
  <si>
    <t>3131</t>
  </si>
  <si>
    <t>3142</t>
  </si>
  <si>
    <t>3143</t>
  </si>
  <si>
    <t>3144</t>
  </si>
  <si>
    <t>3149</t>
  </si>
  <si>
    <t>3151</t>
  </si>
  <si>
    <t>3161</t>
  </si>
  <si>
    <t>3171</t>
  </si>
  <si>
    <t>3172</t>
  </si>
  <si>
    <t>3199</t>
  </si>
  <si>
    <t>3211</t>
  </si>
  <si>
    <t>3221</t>
  </si>
  <si>
    <t>3229</t>
  </si>
  <si>
    <t>3231</t>
  </si>
  <si>
    <t>3241</t>
  </si>
  <si>
    <t>3251</t>
  </si>
  <si>
    <t>3253</t>
  </si>
  <si>
    <t>3255</t>
  </si>
  <si>
    <t>3259</t>
  </si>
  <si>
    <t>3261</t>
  </si>
  <si>
    <t>3262</t>
  </si>
  <si>
    <t>3263</t>
  </si>
  <si>
    <t>3264</t>
  </si>
  <si>
    <t>3269</t>
  </si>
  <si>
    <t>3271</t>
  </si>
  <si>
    <t>3272</t>
  </si>
  <si>
    <t>3273</t>
  </si>
  <si>
    <t>3274</t>
  </si>
  <si>
    <t>3275</t>
  </si>
  <si>
    <t>3281</t>
  </si>
  <si>
    <t>3291</t>
  </si>
  <si>
    <t>3292</t>
  </si>
  <si>
    <t>3295</t>
  </si>
  <si>
    <t>3296</t>
  </si>
  <si>
    <t>3297</t>
  </si>
  <si>
    <t>3299</t>
  </si>
  <si>
    <t>3312</t>
  </si>
  <si>
    <t>3313</t>
  </si>
  <si>
    <t>3315</t>
  </si>
  <si>
    <t>3316</t>
  </si>
  <si>
    <t>3317</t>
  </si>
  <si>
    <t>3321</t>
  </si>
  <si>
    <t>3322</t>
  </si>
  <si>
    <t>3324</t>
  </si>
  <si>
    <t>3325</t>
  </si>
  <si>
    <t>3331</t>
  </si>
  <si>
    <t>3334</t>
  </si>
  <si>
    <t>3339</t>
  </si>
  <si>
    <t>3341</t>
  </si>
  <si>
    <t>3351</t>
  </si>
  <si>
    <t>3353</t>
  </si>
  <si>
    <t>3354</t>
  </si>
  <si>
    <t>3355</t>
  </si>
  <si>
    <t>3356</t>
  </si>
  <si>
    <t>3357</t>
  </si>
  <si>
    <t>3363</t>
  </si>
  <si>
    <t>3364</t>
  </si>
  <si>
    <t>3365</t>
  </si>
  <si>
    <t>3366</t>
  </si>
  <si>
    <t>3369</t>
  </si>
  <si>
    <t>3398</t>
  </si>
  <si>
    <t>3399</t>
  </si>
  <si>
    <t>3411</t>
  </si>
  <si>
    <t>3412</t>
  </si>
  <si>
    <t>3421</t>
  </si>
  <si>
    <t>3423</t>
  </si>
  <si>
    <t>3425</t>
  </si>
  <si>
    <t>3429</t>
  </si>
  <si>
    <t>3431</t>
  </si>
  <si>
    <t>3432</t>
  </si>
  <si>
    <t>3433</t>
  </si>
  <si>
    <t>3441</t>
  </si>
  <si>
    <t>3442</t>
  </si>
  <si>
    <t>3443</t>
  </si>
  <si>
    <t>3444</t>
  </si>
  <si>
    <t>3446</t>
  </si>
  <si>
    <t>3448</t>
  </si>
  <si>
    <t>3449</t>
  </si>
  <si>
    <t>3451</t>
  </si>
  <si>
    <t>3452</t>
  </si>
  <si>
    <t>3462</t>
  </si>
  <si>
    <t>3463</t>
  </si>
  <si>
    <t>3465</t>
  </si>
  <si>
    <t>3466</t>
  </si>
  <si>
    <t>3469</t>
  </si>
  <si>
    <t>3471</t>
  </si>
  <si>
    <t>3479</t>
  </si>
  <si>
    <t>3482</t>
  </si>
  <si>
    <t>3483</t>
  </si>
  <si>
    <t>3484</t>
  </si>
  <si>
    <t>3489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</si>
  <si>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</si>
  <si>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</si>
  <si>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</si>
  <si>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</si>
  <si>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</si>
  <si>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</si>
  <si>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</si>
  <si>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</si>
  <si>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</si>
  <si>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3511</t>
  </si>
  <si>
    <t>3519</t>
  </si>
  <si>
    <t>3523</t>
  </si>
  <si>
    <t>3524</t>
  </si>
  <si>
    <t>3531</t>
  </si>
  <si>
    <t>3532</t>
  </si>
  <si>
    <t>3533</t>
  </si>
  <si>
    <t>3534</t>
  </si>
  <si>
    <t>3535</t>
  </si>
  <si>
    <t>3536</t>
  </si>
  <si>
    <t>3537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</si>
  <si>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</si>
  <si>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</si>
  <si>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</si>
  <si>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</si>
  <si>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</si>
  <si>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</si>
  <si>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</si>
  <si>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</si>
  <si>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</si>
  <si>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3552</t>
  </si>
  <si>
    <t>3553</t>
  </si>
  <si>
    <t>3554</t>
  </si>
  <si>
    <t>3555</t>
  </si>
  <si>
    <t>3556</t>
  </si>
  <si>
    <t>3559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</si>
  <si>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</si>
  <si>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</si>
  <si>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</si>
  <si>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</si>
  <si>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</si>
  <si>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</si>
  <si>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</si>
  <si>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</si>
  <si>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</si>
  <si>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3571</t>
  </si>
  <si>
    <t>3572</t>
  </si>
  <si>
    <t>3575</t>
  </si>
  <si>
    <t>3577</t>
  </si>
  <si>
    <t>3578</t>
  </si>
  <si>
    <t>3579</t>
  </si>
  <si>
    <t>3581</t>
  </si>
  <si>
    <t>3582</t>
  </si>
  <si>
    <t>3585</t>
  </si>
  <si>
    <t>3586</t>
  </si>
  <si>
    <t>3589</t>
  </si>
  <si>
    <t>3592</t>
  </si>
  <si>
    <t>3593</t>
  </si>
  <si>
    <t>3594</t>
  </si>
  <si>
    <t>3596</t>
  </si>
  <si>
    <t>3599</t>
  </si>
  <si>
    <t>3612</t>
  </si>
  <si>
    <t>3613</t>
  </si>
  <si>
    <t>3621</t>
  </si>
  <si>
    <t>3624</t>
  </si>
  <si>
    <t>3625</t>
  </si>
  <si>
    <t>3629</t>
  </si>
  <si>
    <t>3631</t>
  </si>
  <si>
    <t>3632</t>
  </si>
  <si>
    <t>3633</t>
  </si>
  <si>
    <t>3634</t>
  </si>
  <si>
    <t>3635</t>
  </si>
  <si>
    <t>3639</t>
  </si>
  <si>
    <t>3641</t>
  </si>
  <si>
    <t>3643</t>
  </si>
  <si>
    <t>3644</t>
  </si>
  <si>
    <t>3645</t>
  </si>
  <si>
    <t>3646</t>
  </si>
  <si>
    <t>3647</t>
  </si>
  <si>
    <t>3648</t>
  </si>
  <si>
    <t>3651</t>
  </si>
  <si>
    <t>3652</t>
  </si>
  <si>
    <t>3661</t>
  </si>
  <si>
    <t>3663</t>
  </si>
  <si>
    <t>3669</t>
  </si>
  <si>
    <t>3671</t>
  </si>
  <si>
    <t>3672</t>
  </si>
  <si>
    <t>3674</t>
  </si>
  <si>
    <t>3675</t>
  </si>
  <si>
    <t>3676</t>
  </si>
  <si>
    <t>3677</t>
  </si>
  <si>
    <t>3678</t>
  </si>
  <si>
    <t>3679</t>
  </si>
  <si>
    <t>3691</t>
  </si>
  <si>
    <t>3692</t>
  </si>
  <si>
    <t>3694</t>
  </si>
  <si>
    <t>3695</t>
  </si>
  <si>
    <t>3699</t>
  </si>
  <si>
    <t>3711</t>
  </si>
  <si>
    <t>3713</t>
  </si>
  <si>
    <t>3714</t>
  </si>
  <si>
    <t>3715</t>
  </si>
  <si>
    <t>3716</t>
  </si>
  <si>
    <t>3721</t>
  </si>
  <si>
    <t>3724</t>
  </si>
  <si>
    <t>3728</t>
  </si>
  <si>
    <t>3731</t>
  </si>
  <si>
    <t>3732</t>
  </si>
  <si>
    <t>3743</t>
  </si>
  <si>
    <t>3751</t>
  </si>
  <si>
    <t>3761</t>
  </si>
  <si>
    <t>3764</t>
  </si>
  <si>
    <t>3769</t>
  </si>
  <si>
    <t>3792</t>
  </si>
  <si>
    <t>3795</t>
  </si>
  <si>
    <t>3799</t>
  </si>
  <si>
    <t>3812</t>
  </si>
  <si>
    <t>3821</t>
  </si>
  <si>
    <t>3822</t>
  </si>
  <si>
    <t>3823</t>
  </si>
  <si>
    <t>3824</t>
  </si>
  <si>
    <t>3825</t>
  </si>
  <si>
    <t>3826</t>
  </si>
  <si>
    <t>3827</t>
  </si>
  <si>
    <t>3829</t>
  </si>
  <si>
    <t>3841</t>
  </si>
  <si>
    <t>3842</t>
  </si>
  <si>
    <t>3843</t>
  </si>
  <si>
    <t>3844</t>
  </si>
  <si>
    <t>3845</t>
  </si>
  <si>
    <t>3851</t>
  </si>
  <si>
    <t>3861</t>
  </si>
  <si>
    <t>3873</t>
  </si>
  <si>
    <t>3911</t>
  </si>
  <si>
    <t>3914</t>
  </si>
  <si>
    <t>3915</t>
  </si>
  <si>
    <t>3931</t>
  </si>
  <si>
    <t>3942</t>
  </si>
  <si>
    <t>3944</t>
  </si>
  <si>
    <t>3949</t>
  </si>
  <si>
    <t>3951</t>
  </si>
  <si>
    <t>3952</t>
  </si>
  <si>
    <t>3953</t>
  </si>
  <si>
    <t>3955</t>
  </si>
  <si>
    <t>3961</t>
  </si>
  <si>
    <t>3965</t>
  </si>
  <si>
    <t>3991</t>
  </si>
  <si>
    <t>3993</t>
  </si>
  <si>
    <t>3995</t>
  </si>
  <si>
    <t>3996</t>
  </si>
  <si>
    <t>3999</t>
  </si>
  <si>
    <t>4011</t>
  </si>
  <si>
    <t>4013</t>
  </si>
  <si>
    <t>4111</t>
  </si>
  <si>
    <t>4119</t>
  </si>
  <si>
    <t>4121</t>
  </si>
  <si>
    <t>4131</t>
  </si>
  <si>
    <t>4141</t>
  </si>
  <si>
    <t>4142</t>
  </si>
  <si>
    <t>4151</t>
  </si>
  <si>
    <t>4173</t>
  </si>
  <si>
    <t>4212</t>
  </si>
  <si>
    <t>4213</t>
  </si>
  <si>
    <t>4214</t>
  </si>
  <si>
    <t>4215</t>
  </si>
  <si>
    <t>4221</t>
  </si>
  <si>
    <t>4222</t>
  </si>
  <si>
    <t>4225</t>
  </si>
  <si>
    <t>4226</t>
  </si>
  <si>
    <t>4231</t>
  </si>
  <si>
    <t>4311</t>
  </si>
  <si>
    <t>4412</t>
  </si>
  <si>
    <t>4424</t>
  </si>
  <si>
    <t>4432</t>
  </si>
  <si>
    <t>4449</t>
  </si>
  <si>
    <t>4481</t>
  </si>
  <si>
    <t>4482</t>
  </si>
  <si>
    <t>4489</t>
  </si>
  <si>
    <t>4491</t>
  </si>
  <si>
    <t>4492</t>
  </si>
  <si>
    <t>4493</t>
  </si>
  <si>
    <t>4499</t>
  </si>
  <si>
    <t>4512</t>
  </si>
  <si>
    <t>4513</t>
  </si>
  <si>
    <t>4522</t>
  </si>
  <si>
    <t>4581</t>
  </si>
  <si>
    <t>4612</t>
  </si>
  <si>
    <t>4613</t>
  </si>
  <si>
    <t>4619</t>
  </si>
  <si>
    <t>4724</t>
  </si>
  <si>
    <t>4725</t>
  </si>
  <si>
    <t>4729</t>
  </si>
  <si>
    <t>4731</t>
  </si>
  <si>
    <t>4741</t>
  </si>
  <si>
    <t>4783</t>
  </si>
  <si>
    <t>4785</t>
  </si>
  <si>
    <t>4789</t>
  </si>
  <si>
    <t>4812</t>
  </si>
  <si>
    <t>4813</t>
  </si>
  <si>
    <t>4822</t>
  </si>
  <si>
    <t>4832</t>
  </si>
  <si>
    <t>4833</t>
  </si>
  <si>
    <t>4841</t>
  </si>
  <si>
    <t>4899</t>
  </si>
  <si>
    <t>4911</t>
  </si>
  <si>
    <t>4922</t>
  </si>
  <si>
    <t>4923</t>
  </si>
  <si>
    <t>4924</t>
  </si>
  <si>
    <t>4925</t>
  </si>
  <si>
    <t>4931</t>
  </si>
  <si>
    <t>4932</t>
  </si>
  <si>
    <t>4939</t>
  </si>
  <si>
    <t>4941</t>
  </si>
  <si>
    <t>4952</t>
  </si>
  <si>
    <t>4953</t>
  </si>
  <si>
    <t>4959</t>
  </si>
  <si>
    <t>4961</t>
  </si>
  <si>
    <t>4971</t>
  </si>
  <si>
    <t>5012</t>
  </si>
  <si>
    <t>5013</t>
  </si>
  <si>
    <t>5014</t>
  </si>
  <si>
    <t>5015</t>
  </si>
  <si>
    <t>5021</t>
  </si>
  <si>
    <t>5023</t>
  </si>
  <si>
    <t>5031</t>
  </si>
  <si>
    <t>5032</t>
  </si>
  <si>
    <t>5033</t>
  </si>
  <si>
    <t>5039</t>
  </si>
  <si>
    <t>5043</t>
  </si>
  <si>
    <t>5044</t>
  </si>
  <si>
    <t>5045</t>
  </si>
  <si>
    <t>5046</t>
  </si>
  <si>
    <t>5047</t>
  </si>
  <si>
    <t>5048</t>
  </si>
  <si>
    <t>5049</t>
  </si>
  <si>
    <t>5051</t>
  </si>
  <si>
    <t>5052</t>
  </si>
  <si>
    <t>5063</t>
  </si>
  <si>
    <t>5064</t>
  </si>
  <si>
    <t>5065</t>
  </si>
  <si>
    <t>5072</t>
  </si>
  <si>
    <t>5074</t>
  </si>
  <si>
    <t>5075</t>
  </si>
  <si>
    <t>5078</t>
  </si>
  <si>
    <t>5082</t>
  </si>
  <si>
    <t>5083</t>
  </si>
  <si>
    <t>5084</t>
  </si>
  <si>
    <t>5085</t>
  </si>
  <si>
    <t>5087</t>
  </si>
  <si>
    <t>5088</t>
  </si>
  <si>
    <t>5091</t>
  </si>
  <si>
    <t>5092</t>
  </si>
  <si>
    <t>5093</t>
  </si>
  <si>
    <t>5094</t>
  </si>
  <si>
    <t>5099</t>
  </si>
  <si>
    <t>5111</t>
  </si>
  <si>
    <t>5112</t>
  </si>
  <si>
    <t>5113</t>
  </si>
  <si>
    <t>5122</t>
  </si>
  <si>
    <t>5131</t>
  </si>
  <si>
    <t>5136</t>
  </si>
  <si>
    <t>5137</t>
  </si>
  <si>
    <t>5139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</si>
  <si>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</si>
  <si>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</si>
  <si>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</si>
  <si>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</si>
  <si>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</si>
  <si>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</si>
  <si>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</si>
  <si>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</si>
  <si>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</si>
  <si>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5153</t>
  </si>
  <si>
    <t>5154</t>
  </si>
  <si>
    <t>5159</t>
  </si>
  <si>
    <t>5162</t>
  </si>
  <si>
    <t>5169</t>
  </si>
  <si>
    <t>5171</t>
  </si>
  <si>
    <t>5172</t>
  </si>
  <si>
    <t>5181</t>
  </si>
  <si>
    <t>5182</t>
  </si>
  <si>
    <t>5191</t>
  </si>
  <si>
    <t>5192</t>
  </si>
  <si>
    <t>5193</t>
  </si>
  <si>
    <t>5194</t>
  </si>
  <si>
    <t>5198</t>
  </si>
  <si>
    <t>5199</t>
  </si>
  <si>
    <t>5211</t>
  </si>
  <si>
    <t>5231</t>
  </si>
  <si>
    <t>5251</t>
  </si>
  <si>
    <t>5261</t>
  </si>
  <si>
    <t>5271</t>
  </si>
  <si>
    <t>5311</t>
  </si>
  <si>
    <t>5331</t>
  </si>
  <si>
    <t>5399</t>
  </si>
  <si>
    <t>5411</t>
  </si>
  <si>
    <t>5421</t>
  </si>
  <si>
    <t>5431</t>
  </si>
  <si>
    <t>5441</t>
  </si>
  <si>
    <t>5451</t>
  </si>
  <si>
    <t>5461</t>
  </si>
  <si>
    <t>5499</t>
  </si>
  <si>
    <t>5511</t>
  </si>
  <si>
    <t>5521</t>
  </si>
  <si>
    <t>5531</t>
  </si>
  <si>
    <t>5541</t>
  </si>
  <si>
    <t>5551</t>
  </si>
  <si>
    <t>5561</t>
  </si>
  <si>
    <t>5571</t>
  </si>
  <si>
    <t>5599</t>
  </si>
  <si>
    <t>5611</t>
  </si>
  <si>
    <t>5621</t>
  </si>
  <si>
    <t>5632</t>
  </si>
  <si>
    <t>5641</t>
  </si>
  <si>
    <t>5651</t>
  </si>
  <si>
    <t>5661</t>
  </si>
  <si>
    <t>5699</t>
  </si>
  <si>
    <t>5712</t>
  </si>
  <si>
    <t>5713</t>
  </si>
  <si>
    <t>5714</t>
  </si>
  <si>
    <t>5719</t>
  </si>
  <si>
    <t>5722</t>
  </si>
  <si>
    <t>5731</t>
  </si>
  <si>
    <t>5734</t>
  </si>
  <si>
    <t>5735</t>
  </si>
  <si>
    <t>5736</t>
  </si>
  <si>
    <t>5812</t>
  </si>
  <si>
    <t>5813</t>
  </si>
  <si>
    <t>5912</t>
  </si>
  <si>
    <t>5921</t>
  </si>
  <si>
    <t>5932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</si>
  <si>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</si>
  <si>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</si>
  <si>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</si>
  <si>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</si>
  <si>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</si>
  <si>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</si>
  <si>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</si>
  <si>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</si>
  <si>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</si>
  <si>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5961</t>
  </si>
  <si>
    <t>5962</t>
  </si>
  <si>
    <t>5963</t>
  </si>
  <si>
    <t>5983</t>
  </si>
  <si>
    <t>5984</t>
  </si>
  <si>
    <t>5989</t>
  </si>
  <si>
    <t>5992</t>
  </si>
  <si>
    <t>5993</t>
  </si>
  <si>
    <t>5994</t>
  </si>
  <si>
    <t>5995</t>
  </si>
  <si>
    <t>5999</t>
  </si>
  <si>
    <t>6011</t>
  </si>
  <si>
    <t>6019</t>
  </si>
  <si>
    <t>6021</t>
  </si>
  <si>
    <t>6022</t>
  </si>
  <si>
    <t>6029</t>
  </si>
  <si>
    <t>6035</t>
  </si>
  <si>
    <t>6036</t>
  </si>
  <si>
    <t>6061</t>
  </si>
  <si>
    <t>6062</t>
  </si>
  <si>
    <t>6081</t>
  </si>
  <si>
    <t>6082</t>
  </si>
  <si>
    <t>6091</t>
  </si>
  <si>
    <t>6099</t>
  </si>
  <si>
    <t>6111</t>
  </si>
  <si>
    <t>6141</t>
  </si>
  <si>
    <t>6153</t>
  </si>
  <si>
    <t>6159</t>
  </si>
  <si>
    <t>6162</t>
  </si>
  <si>
    <t>6163</t>
  </si>
  <si>
    <t>6211</t>
  </si>
  <si>
    <t>6221</t>
  </si>
  <si>
    <t>6231</t>
  </si>
  <si>
    <t>6282</t>
  </si>
  <si>
    <t>6289</t>
  </si>
  <si>
    <t>6311</t>
  </si>
  <si>
    <t>6321</t>
  </si>
  <si>
    <t>6324</t>
  </si>
  <si>
    <t>6331</t>
  </si>
  <si>
    <t>6351</t>
  </si>
  <si>
    <t>6361</t>
  </si>
  <si>
    <t>6371</t>
  </si>
  <si>
    <t>6399</t>
  </si>
  <si>
    <t>6411</t>
  </si>
  <si>
    <t>6512</t>
  </si>
  <si>
    <t>6513</t>
  </si>
  <si>
    <t>6514</t>
  </si>
  <si>
    <t>6515</t>
  </si>
  <si>
    <t>6517</t>
  </si>
  <si>
    <t>6519</t>
  </si>
  <si>
    <t>6531</t>
  </si>
  <si>
    <t>6541</t>
  </si>
  <si>
    <t>6552</t>
  </si>
  <si>
    <t>6553</t>
  </si>
  <si>
    <t>6712</t>
  </si>
  <si>
    <t>6719</t>
  </si>
  <si>
    <t>6722</t>
  </si>
  <si>
    <t>6726</t>
  </si>
  <si>
    <t>6732</t>
  </si>
  <si>
    <t>6733</t>
  </si>
  <si>
    <t>6792</t>
  </si>
  <si>
    <t>6794</t>
  </si>
  <si>
    <t>6798</t>
  </si>
  <si>
    <t>6799</t>
  </si>
  <si>
    <t>7011</t>
  </si>
  <si>
    <t>7021</t>
  </si>
  <si>
    <t>7032</t>
  </si>
  <si>
    <t>7033</t>
  </si>
  <si>
    <t>7041</t>
  </si>
  <si>
    <t>7211</t>
  </si>
  <si>
    <t>7212</t>
  </si>
  <si>
    <t>7213</t>
  </si>
  <si>
    <t>7215</t>
  </si>
  <si>
    <t>7216</t>
  </si>
  <si>
    <t>7217</t>
  </si>
  <si>
    <t>7218</t>
  </si>
  <si>
    <t>7219</t>
  </si>
  <si>
    <t>7221</t>
  </si>
  <si>
    <t>7231</t>
  </si>
  <si>
    <t>7241</t>
  </si>
  <si>
    <t>7251</t>
  </si>
  <si>
    <t>7261</t>
  </si>
  <si>
    <t>7291</t>
  </si>
  <si>
    <t>7299</t>
  </si>
  <si>
    <t>7311</t>
  </si>
  <si>
    <t>7312</t>
  </si>
  <si>
    <t>7313</t>
  </si>
  <si>
    <t>7319</t>
  </si>
  <si>
    <t>7322</t>
  </si>
  <si>
    <t>7323</t>
  </si>
  <si>
    <t>7331</t>
  </si>
  <si>
    <t>7334</t>
  </si>
  <si>
    <t>7335</t>
  </si>
  <si>
    <t>7336</t>
  </si>
  <si>
    <t>7338</t>
  </si>
  <si>
    <t>7342</t>
  </si>
  <si>
    <t>7349</t>
  </si>
  <si>
    <t>7352</t>
  </si>
  <si>
    <t>7353</t>
  </si>
  <si>
    <t>7359</t>
  </si>
  <si>
    <t>7361</t>
  </si>
  <si>
    <t>7363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</si>
  <si>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</si>
  <si>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</si>
  <si>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</si>
  <si>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</si>
  <si>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</si>
  <si>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</si>
  <si>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</si>
  <si>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</si>
  <si>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</si>
  <si>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7381</t>
  </si>
  <si>
    <t>7382</t>
  </si>
  <si>
    <t>7383</t>
  </si>
  <si>
    <t>7384</t>
  </si>
  <si>
    <t>7389</t>
  </si>
  <si>
    <t>7513</t>
  </si>
  <si>
    <t>7514</t>
  </si>
  <si>
    <t>7515</t>
  </si>
  <si>
    <t>7519</t>
  </si>
  <si>
    <t>7521</t>
  </si>
  <si>
    <t>7532</t>
  </si>
  <si>
    <t>7533</t>
  </si>
  <si>
    <t>7534</t>
  </si>
  <si>
    <t>7536</t>
  </si>
  <si>
    <t>7537</t>
  </si>
  <si>
    <t>7538</t>
  </si>
  <si>
    <t>7539</t>
  </si>
  <si>
    <t>7542</t>
  </si>
  <si>
    <t>7549</t>
  </si>
  <si>
    <t>7622</t>
  </si>
  <si>
    <t>7623</t>
  </si>
  <si>
    <t>7629</t>
  </si>
  <si>
    <t>7631</t>
  </si>
  <si>
    <t>7641</t>
  </si>
  <si>
    <t>7692</t>
  </si>
  <si>
    <t>7694</t>
  </si>
  <si>
    <t>7699</t>
  </si>
  <si>
    <t>7812</t>
  </si>
  <si>
    <t>7819</t>
  </si>
  <si>
    <t>7822</t>
  </si>
  <si>
    <t>7829</t>
  </si>
  <si>
    <t>7832</t>
  </si>
  <si>
    <t>7833</t>
  </si>
  <si>
    <t>7841</t>
  </si>
  <si>
    <t>7911</t>
  </si>
  <si>
    <t>7922</t>
  </si>
  <si>
    <t>7929</t>
  </si>
  <si>
    <t>7933</t>
  </si>
  <si>
    <t>7941</t>
  </si>
  <si>
    <t>7948</t>
  </si>
  <si>
    <t>7991</t>
  </si>
  <si>
    <t>7992</t>
  </si>
  <si>
    <t>7993</t>
  </si>
  <si>
    <t>7996</t>
  </si>
  <si>
    <t>7997</t>
  </si>
  <si>
    <t>7999</t>
  </si>
  <si>
    <t>8011</t>
  </si>
  <si>
    <t>8021</t>
  </si>
  <si>
    <t>8031</t>
  </si>
  <si>
    <t>8041</t>
  </si>
  <si>
    <t>8042</t>
  </si>
  <si>
    <t>8043</t>
  </si>
  <si>
    <t>8049</t>
  </si>
  <si>
    <t>8051</t>
  </si>
  <si>
    <t>8052</t>
  </si>
  <si>
    <t>8059</t>
  </si>
  <si>
    <t>8062</t>
  </si>
  <si>
    <t>8063</t>
  </si>
  <si>
    <t>8069</t>
  </si>
  <si>
    <t>8071</t>
  </si>
  <si>
    <t>8072</t>
  </si>
  <si>
    <t>8082</t>
  </si>
  <si>
    <t>8092</t>
  </si>
  <si>
    <t>8093</t>
  </si>
  <si>
    <t>8099</t>
  </si>
  <si>
    <t>8111</t>
  </si>
  <si>
    <t>8211</t>
  </si>
  <si>
    <t>8221</t>
  </si>
  <si>
    <t>8222</t>
  </si>
  <si>
    <t>8231</t>
  </si>
  <si>
    <t>8243</t>
  </si>
  <si>
    <t>8244</t>
  </si>
  <si>
    <t>8249</t>
  </si>
  <si>
    <t>8299</t>
  </si>
  <si>
    <t>8322</t>
  </si>
  <si>
    <t>8331</t>
  </si>
  <si>
    <t>8351</t>
  </si>
  <si>
    <t>8361</t>
  </si>
  <si>
    <t>8399</t>
  </si>
  <si>
    <t>8412</t>
  </si>
  <si>
    <t>8422</t>
  </si>
  <si>
    <t>8611</t>
  </si>
  <si>
    <t>8621</t>
  </si>
  <si>
    <t>8631</t>
  </si>
  <si>
    <t>8641</t>
  </si>
  <si>
    <t>8651</t>
  </si>
  <si>
    <t>8661</t>
  </si>
  <si>
    <t>8699</t>
  </si>
  <si>
    <t>8711</t>
  </si>
  <si>
    <t>8712</t>
  </si>
  <si>
    <t>8713</t>
  </si>
  <si>
    <t>8721</t>
  </si>
  <si>
    <t>8731</t>
  </si>
  <si>
    <t>8732</t>
  </si>
  <si>
    <t>8733</t>
  </si>
  <si>
    <t>8734</t>
  </si>
  <si>
    <t>8741</t>
  </si>
  <si>
    <t>8742</t>
  </si>
  <si>
    <t>8743</t>
  </si>
  <si>
    <t>8744</t>
  </si>
  <si>
    <t>8748</t>
  </si>
  <si>
    <t>8811</t>
  </si>
  <si>
    <t>8999</t>
  </si>
  <si>
    <t>9111</t>
  </si>
  <si>
    <t>9121</t>
  </si>
  <si>
    <t>9131</t>
  </si>
  <si>
    <t>9199</t>
  </si>
  <si>
    <t>9211</t>
  </si>
  <si>
    <t>9221</t>
  </si>
  <si>
    <t>9222</t>
  </si>
  <si>
    <t>9223</t>
  </si>
  <si>
    <t>9224</t>
  </si>
  <si>
    <t>9229</t>
  </si>
  <si>
    <t>9311</t>
  </si>
  <si>
    <t>9411</t>
  </si>
  <si>
    <t>9431</t>
  </si>
  <si>
    <t>9441</t>
  </si>
  <si>
    <t>9451</t>
  </si>
  <si>
    <t>9511</t>
  </si>
  <si>
    <t>9512</t>
  </si>
  <si>
    <t>9531</t>
  </si>
  <si>
    <t>9532</t>
  </si>
  <si>
    <t>9611</t>
  </si>
  <si>
    <t>9621</t>
  </si>
  <si>
    <t>9631</t>
  </si>
  <si>
    <t>9641</t>
  </si>
  <si>
    <t>9651</t>
  </si>
  <si>
    <t>9661</t>
  </si>
  <si>
    <t>9711</t>
  </si>
  <si>
    <t>9721</t>
  </si>
  <si>
    <t>9999</t>
  </si>
  <si>
    <r>
      <rPr>
        <sz val="10"/>
        <color theme="0" tint="-0.499984740745262"/>
        <rFont val="Franklin Gothic Book"/>
        <family val="2"/>
      </rPr>
      <t xml:space="preserve">SmartRules Double </t>
    </r>
    <r>
      <rPr>
        <b/>
        <sz val="10"/>
        <rFont val="Franklin Gothic Book"/>
        <family val="2"/>
      </rPr>
      <t xml:space="preserve">EmployerContributionFactor </t>
    </r>
    <r>
      <rPr>
        <sz val="10"/>
        <color theme="0" tint="-0.499984740745262"/>
        <rFont val="Franklin Gothic Book"/>
        <family val="2"/>
      </rPr>
      <t>( Double employerContributionPct )</t>
    </r>
  </si>
  <si>
    <t>Employer Contribution Percent</t>
  </si>
  <si>
    <t>[0; 0.25)</t>
  </si>
  <si>
    <t>[0.25; 0.50)</t>
  </si>
  <si>
    <t>[0.50; 0.75)</t>
  </si>
  <si>
    <t>[0.75; 1.00)</t>
  </si>
  <si>
    <r>
      <rPr>
        <sz val="10"/>
        <color theme="0" tint="-0.499984740745262"/>
        <rFont val="Franklin Gothic Book"/>
        <family val="2"/>
      </rPr>
      <t xml:space="preserve">SmartRules Double </t>
    </r>
    <r>
      <rPr>
        <b/>
        <sz val="10"/>
        <rFont val="Franklin Gothic Book"/>
        <family val="2"/>
      </rPr>
      <t xml:space="preserve">AreaFactor </t>
    </r>
    <r>
      <rPr>
        <sz val="10"/>
        <color theme="0" tint="-0.499984740745262"/>
        <rFont val="Franklin Gothic Book"/>
        <family val="2"/>
      </rPr>
      <t>( String threeDigitZip )</t>
    </r>
  </si>
  <si>
    <t>Three Digit Zip</t>
  </si>
  <si>
    <t>002</t>
  </si>
  <si>
    <t>003</t>
  </si>
  <si>
    <t>005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</si>
  <si>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</si>
  <si>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</si>
  <si>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</si>
  <si>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</si>
  <si>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</si>
  <si>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</si>
  <si>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</si>
  <si>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</si>
  <si>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</si>
  <si>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</si>
  <si>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</si>
  <si>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</si>
  <si>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</si>
  <si>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</si>
  <si>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</si>
  <si>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</si>
  <si>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</si>
  <si>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</si>
  <si>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</si>
  <si>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</si>
  <si>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</si>
  <si>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</si>
  <si>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</si>
  <si>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</si>
  <si>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</si>
  <si>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</si>
  <si>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</si>
  <si>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</si>
  <si>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</si>
  <si>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</si>
  <si>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</si>
  <si>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</si>
  <si>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</si>
  <si>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</si>
  <si>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</si>
  <si>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</si>
  <si>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</si>
  <si>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</si>
  <si>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</si>
  <si>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</si>
  <si>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</si>
  <si>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</si>
  <si>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</si>
  <si>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</si>
  <si>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</si>
  <si>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</si>
  <si>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</si>
  <si>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</si>
  <si>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</si>
  <si>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</si>
  <si>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</si>
  <si>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</si>
  <si>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</si>
  <si>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</si>
  <si>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</si>
  <si>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</si>
  <si>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</si>
  <si>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</si>
  <si>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</si>
  <si>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</si>
  <si>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</si>
  <si>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</si>
  <si>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</si>
  <si>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</si>
  <si>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</si>
  <si>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</si>
  <si>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</si>
  <si>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</si>
  <si>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</si>
  <si>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</si>
  <si>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</si>
  <si>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</si>
  <si>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</si>
  <si>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</si>
  <si>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</si>
  <si>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</si>
  <si>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</si>
  <si>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</si>
  <si>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</si>
  <si>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</si>
  <si>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</si>
  <si>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</si>
  <si>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</si>
  <si>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</si>
  <si>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</si>
  <si>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</si>
  <si>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</si>
  <si>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</si>
  <si>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</si>
  <si>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</si>
  <si>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</si>
  <si>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</si>
  <si>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</si>
  <si>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</si>
  <si>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</si>
  <si>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</si>
  <si>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</si>
  <si>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</si>
  <si>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</si>
  <si>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</si>
  <si>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</si>
  <si>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</si>
  <si>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</si>
  <si>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</si>
  <si>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</si>
  <si>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</si>
  <si>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</si>
  <si>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</si>
  <si>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</si>
  <si>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</si>
  <si>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</si>
  <si>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</si>
  <si>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</si>
  <si>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</si>
  <si>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</si>
  <si>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</si>
  <si>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</si>
  <si>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</si>
  <si>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</si>
  <si>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</si>
  <si>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</si>
  <si>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</si>
  <si>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</si>
  <si>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</si>
  <si>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</si>
  <si>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</si>
  <si>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</si>
  <si>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</si>
  <si>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</si>
  <si>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</si>
  <si>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</si>
  <si>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</si>
  <si>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</si>
  <si>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</si>
  <si>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</si>
  <si>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</si>
  <si>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</si>
  <si>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</si>
  <si>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</si>
  <si>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</si>
  <si>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</si>
  <si>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</si>
  <si>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</si>
  <si>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</si>
  <si>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</si>
  <si>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</si>
  <si>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</si>
  <si>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</si>
  <si>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</si>
  <si>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</si>
  <si>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</si>
  <si>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</si>
  <si>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</si>
  <si>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</si>
  <si>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</si>
  <si>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</si>
  <si>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</si>
  <si>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</si>
  <si>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</si>
  <si>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</si>
  <si>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</si>
  <si>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</si>
  <si>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</si>
  <si>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</si>
  <si>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</si>
  <si>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</si>
  <si>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</si>
  <si>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</si>
  <si>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</si>
  <si>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</si>
  <si>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</si>
  <si>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</si>
  <si>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</si>
  <si>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</si>
  <si>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</si>
  <si>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</si>
  <si>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</si>
  <si>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</si>
  <si>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</si>
  <si>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</si>
  <si>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</si>
  <si>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</si>
  <si>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</si>
  <si>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</si>
  <si>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</si>
  <si>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</si>
  <si>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</si>
  <si>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</si>
  <si>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</si>
  <si>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</si>
  <si>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</si>
  <si>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</si>
  <si>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</si>
  <si>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</si>
  <si>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</si>
  <si>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</si>
  <si>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</si>
  <si>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</si>
  <si>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</si>
  <si>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</si>
  <si>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</si>
  <si>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</si>
  <si>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</si>
  <si>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</si>
  <si>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</si>
  <si>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</si>
  <si>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</si>
  <si>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</si>
  <si>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</si>
  <si>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</si>
  <si>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</si>
  <si>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</si>
  <si>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</si>
  <si>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</si>
  <si>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</si>
  <si>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</si>
  <si>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</si>
  <si>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</si>
  <si>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</si>
  <si>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</si>
  <si>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</si>
  <si>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</si>
  <si>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</si>
  <si>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</si>
  <si>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</si>
  <si>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</si>
  <si>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</si>
  <si>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</si>
  <si>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</si>
  <si>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</si>
  <si>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</si>
  <si>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</si>
  <si>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</si>
  <si>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</si>
  <si>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</si>
  <si>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</si>
  <si>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</si>
  <si>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</si>
  <si>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</si>
  <si>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</si>
  <si>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</si>
  <si>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</si>
  <si>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</si>
  <si>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</si>
  <si>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</si>
  <si>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</si>
  <si>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</si>
  <si>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</si>
  <si>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</si>
  <si>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</si>
  <si>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</si>
  <si>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</si>
  <si>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</si>
  <si>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</si>
  <si>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</si>
  <si>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</si>
  <si>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</si>
  <si>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</si>
  <si>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</si>
  <si>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</si>
  <si>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</si>
  <si>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</si>
  <si>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</si>
  <si>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</si>
  <si>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</si>
  <si>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</si>
  <si>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</si>
  <si>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</si>
  <si>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</si>
  <si>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</si>
  <si>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</si>
  <si>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</si>
  <si>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</si>
  <si>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</si>
  <si>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</si>
  <si>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</si>
  <si>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</si>
  <si>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</si>
  <si>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</si>
  <si>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</si>
  <si>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</si>
  <si>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</si>
  <si>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</si>
  <si>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</si>
  <si>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</si>
  <si>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</si>
  <si>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</si>
  <si>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</si>
  <si>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</si>
  <si>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</si>
  <si>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</si>
  <si>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</si>
  <si>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</si>
  <si>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</si>
  <si>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</si>
  <si>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</si>
  <si>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</si>
  <si>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</si>
  <si>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</si>
  <si>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</si>
  <si>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</si>
  <si>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</si>
  <si>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</si>
  <si>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</si>
  <si>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</si>
  <si>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</si>
  <si>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</si>
  <si>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</si>
  <si>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</si>
  <si>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</si>
  <si>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</si>
  <si>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</si>
  <si>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</si>
  <si>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</si>
  <si>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</si>
  <si>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</si>
  <si>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</si>
  <si>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</si>
  <si>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</si>
  <si>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</si>
  <si>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</si>
  <si>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</si>
  <si>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</si>
  <si>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</si>
  <si>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</si>
  <si>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</si>
  <si>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</si>
  <si>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</si>
  <si>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</si>
  <si>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</si>
  <si>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</si>
  <si>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</si>
  <si>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</si>
  <si>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</si>
  <si>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</si>
  <si>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</si>
  <si>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</si>
  <si>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</si>
  <si>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</si>
  <si>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</si>
  <si>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</si>
  <si>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</si>
  <si>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</si>
  <si>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</si>
  <si>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</si>
  <si>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</si>
  <si>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</si>
  <si>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</si>
  <si>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</si>
  <si>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</si>
  <si>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</si>
  <si>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</si>
  <si>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</si>
  <si>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</si>
  <si>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</si>
  <si>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</si>
  <si>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</si>
  <si>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</si>
  <si>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</si>
  <si>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</si>
  <si>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</si>
  <si>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</si>
  <si>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</si>
  <si>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</si>
  <si>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</si>
  <si>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</si>
  <si>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</si>
  <si>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</si>
  <si>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</si>
  <si>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</si>
  <si>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</si>
  <si>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</si>
  <si>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</si>
  <si>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</si>
  <si>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</si>
  <si>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</si>
  <si>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</si>
  <si>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</si>
  <si>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</si>
  <si>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</si>
  <si>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</si>
  <si>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</si>
  <si>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</si>
  <si>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</si>
  <si>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</si>
  <si>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</si>
  <si>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</si>
  <si>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</si>
  <si>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</si>
  <si>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</si>
  <si>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</si>
  <si>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</si>
  <si>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</si>
  <si>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</si>
  <si>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</si>
  <si>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</si>
  <si>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</si>
  <si>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</si>
  <si>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</si>
  <si>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</si>
  <si>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</si>
  <si>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</si>
  <si>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</si>
  <si>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</si>
  <si>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</si>
  <si>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</si>
  <si>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</si>
  <si>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</si>
  <si>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</si>
  <si>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</si>
  <si>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</si>
  <si>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</si>
  <si>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</si>
  <si>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</si>
  <si>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</si>
  <si>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</si>
  <si>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</si>
  <si>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</si>
  <si>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</si>
  <si>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</si>
  <si>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</si>
  <si>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</si>
  <si>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</si>
  <si>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</si>
  <si>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</si>
  <si>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</si>
  <si>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</si>
  <si>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</si>
  <si>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</si>
  <si>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</si>
  <si>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</si>
  <si>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</si>
  <si>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</si>
  <si>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</si>
  <si>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</si>
  <si>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</si>
  <si>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</si>
  <si>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</si>
  <si>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</si>
  <si>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</si>
  <si>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</si>
  <si>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</si>
  <si>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</si>
  <si>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</si>
  <si>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</si>
  <si>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</si>
  <si>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</si>
  <si>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</si>
  <si>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</si>
  <si>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</si>
  <si>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</si>
  <si>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</si>
  <si>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</si>
  <si>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</si>
  <si>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</si>
  <si>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</si>
  <si>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</si>
  <si>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</si>
  <si>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</si>
  <si>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</si>
  <si>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</si>
  <si>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</si>
  <si>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</si>
  <si>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</si>
  <si>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</si>
  <si>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</si>
  <si>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</si>
  <si>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</si>
  <si>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</si>
  <si>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</si>
  <si>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</si>
  <si>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</si>
  <si>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</si>
  <si>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</si>
  <si>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</si>
  <si>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</si>
  <si>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</si>
  <si>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</si>
  <si>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</si>
  <si>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</si>
  <si>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</si>
  <si>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</si>
  <si>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</si>
  <si>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</si>
  <si>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</si>
  <si>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</si>
  <si>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</si>
  <si>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</si>
  <si>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</si>
  <si>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</si>
  <si>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</si>
  <si>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</si>
  <si>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</si>
  <si>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</si>
  <si>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</si>
  <si>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</si>
  <si>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</si>
  <si>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</si>
  <si>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</si>
  <si>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</si>
  <si>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</si>
  <si>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</si>
  <si>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</si>
  <si>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</si>
  <si>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</si>
  <si>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</si>
  <si>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</si>
  <si>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</si>
  <si>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</si>
  <si>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</si>
  <si>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</si>
  <si>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</si>
  <si>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</si>
  <si>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</si>
  <si>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</si>
  <si>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</si>
  <si>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</si>
  <si>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</si>
  <si>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</si>
  <si>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</si>
  <si>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</si>
  <si>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</si>
  <si>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</si>
  <si>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</si>
  <si>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</si>
  <si>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</si>
  <si>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</si>
  <si>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</si>
  <si>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</si>
  <si>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</si>
  <si>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</si>
  <si>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570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</si>
  <si>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</si>
  <si>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</si>
  <si>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</si>
  <si>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</si>
  <si>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</si>
  <si>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</si>
  <si>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</si>
  <si>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</si>
  <si>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</si>
  <si>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</si>
  <si>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</si>
  <si>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</si>
  <si>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</si>
  <si>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</si>
  <si>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</si>
  <si>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</si>
  <si>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</si>
  <si>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</si>
  <si>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</si>
  <si>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</si>
  <si>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</si>
  <si>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</si>
  <si>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</si>
  <si>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</si>
  <si>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</si>
  <si>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</si>
  <si>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</si>
  <si>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</si>
  <si>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</si>
  <si>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</si>
  <si>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</si>
  <si>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</si>
  <si>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</si>
  <si>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</si>
  <si>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</si>
  <si>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</si>
  <si>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</si>
  <si>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</si>
  <si>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</si>
  <si>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</si>
  <si>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</si>
  <si>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</si>
  <si>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</si>
  <si>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</si>
  <si>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</si>
  <si>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</si>
  <si>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</si>
  <si>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</si>
  <si>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</si>
  <si>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</si>
  <si>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</si>
  <si>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</si>
  <si>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</si>
  <si>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</si>
  <si>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</si>
  <si>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</si>
  <si>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</si>
  <si>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</si>
  <si>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</si>
  <si>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</si>
  <si>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</si>
  <si>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</si>
  <si>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</si>
  <si>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</si>
  <si>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</si>
  <si>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</si>
  <si>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</si>
  <si>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</si>
  <si>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</si>
  <si>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</si>
  <si>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</si>
  <si>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</si>
  <si>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</si>
  <si>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</si>
  <si>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</si>
  <si>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</si>
  <si>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</si>
  <si>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</si>
  <si>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</si>
  <si>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</si>
  <si>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</si>
  <si>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</si>
  <si>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</si>
  <si>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</si>
  <si>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</si>
  <si>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</si>
  <si>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</si>
  <si>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</si>
  <si>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</si>
  <si>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</si>
  <si>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</si>
  <si>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</si>
  <si>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</si>
  <si>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</si>
  <si>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</si>
  <si>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</si>
  <si>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</si>
  <si>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</si>
  <si>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</si>
  <si>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</si>
  <si>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</si>
  <si>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</si>
  <si>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</si>
  <si>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</si>
  <si>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</si>
  <si>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</si>
  <si>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</si>
  <si>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</si>
  <si>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</si>
  <si>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</si>
  <si>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</si>
  <si>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</si>
  <si>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</si>
  <si>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</si>
  <si>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</si>
  <si>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</si>
  <si>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</si>
  <si>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</si>
  <si>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</si>
  <si>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</si>
  <si>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</si>
  <si>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</si>
  <si>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</si>
  <si>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</si>
  <si>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</si>
  <si>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</si>
  <si>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</si>
  <si>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</si>
  <si>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</si>
  <si>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</si>
  <si>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</si>
  <si>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</si>
  <si>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</si>
  <si>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</si>
  <si>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</si>
  <si>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</si>
  <si>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</si>
  <si>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</si>
  <si>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</si>
  <si>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</si>
  <si>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</si>
  <si>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</si>
  <si>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</si>
  <si>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</si>
  <si>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</si>
  <si>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</si>
  <si>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</si>
  <si>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</si>
  <si>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</si>
  <si>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</si>
  <si>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</si>
  <si>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</si>
  <si>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</si>
  <si>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</si>
  <si>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</si>
  <si>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</si>
  <si>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</si>
  <si>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</si>
  <si>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</si>
  <si>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</si>
  <si>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</si>
  <si>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</si>
  <si>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</si>
  <si>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</si>
  <si>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</si>
  <si>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</si>
  <si>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</si>
  <si>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</si>
  <si>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</si>
  <si>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</si>
  <si>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</si>
  <si>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</si>
  <si>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</si>
  <si>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</si>
  <si>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</si>
  <si>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</si>
  <si>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</si>
  <si>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</si>
  <si>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</si>
  <si>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</si>
  <si>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</si>
  <si>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</si>
  <si>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</si>
  <si>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</si>
  <si>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</si>
  <si>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</si>
  <si>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</si>
  <si>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</si>
  <si>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</si>
  <si>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</si>
  <si>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</si>
  <si>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</si>
  <si>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</si>
  <si>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</si>
  <si>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</si>
  <si>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</si>
  <si>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</si>
  <si>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</si>
  <si>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</si>
  <si>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</si>
  <si>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</si>
  <si>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</si>
  <si>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</si>
  <si>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</si>
  <si>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</si>
  <si>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</si>
  <si>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</si>
  <si>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</si>
  <si>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</si>
  <si>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</si>
  <si>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</si>
  <si>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</si>
  <si>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</si>
  <si>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</si>
  <si>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</si>
  <si>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</si>
  <si>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</si>
  <si>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</si>
  <si>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</si>
  <si>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</si>
  <si>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</si>
  <si>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</si>
  <si>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</si>
  <si>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</si>
  <si>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</si>
  <si>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</si>
  <si>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</si>
  <si>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</si>
  <si>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</si>
  <si>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</si>
  <si>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</si>
  <si>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</si>
  <si>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</si>
  <si>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</si>
  <si>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</si>
  <si>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</si>
  <si>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</si>
  <si>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</si>
  <si>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</si>
  <si>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</si>
  <si>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</si>
  <si>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</si>
  <si>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</si>
  <si>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</si>
  <si>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</si>
  <si>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</si>
  <si>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</si>
  <si>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</si>
  <si>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</si>
  <si>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</si>
  <si>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</si>
  <si>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</si>
  <si>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</si>
  <si>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</si>
  <si>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</si>
  <si>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</si>
  <si>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</si>
  <si>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</si>
  <si>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</si>
  <si>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</si>
  <si>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</si>
  <si>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</si>
  <si>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</si>
  <si>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</si>
  <si>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872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</si>
  <si>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</si>
  <si>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</si>
  <si>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</si>
  <si>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</si>
  <si>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</si>
  <si>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</si>
  <si>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</si>
  <si>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</si>
  <si>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</si>
  <si>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</si>
  <si>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</si>
  <si>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</si>
  <si>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</si>
  <si>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</si>
  <si>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</si>
  <si>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</si>
  <si>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</si>
  <si>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</si>
  <si>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</si>
  <si>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</si>
  <si>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</si>
  <si>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</si>
  <si>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</si>
  <si>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</si>
  <si>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</si>
  <si>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</si>
  <si>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</si>
  <si>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</si>
  <si>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</si>
  <si>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</si>
  <si>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</si>
  <si>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</si>
  <si>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</si>
  <si>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</si>
  <si>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</si>
  <si>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</si>
  <si>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</si>
  <si>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</si>
  <si>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</si>
  <si>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</si>
  <si>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</si>
  <si>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</si>
  <si>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</si>
  <si>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</si>
  <si>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</si>
  <si>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</si>
  <si>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</si>
  <si>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</si>
  <si>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</si>
  <si>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</si>
  <si>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</si>
  <si>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</si>
  <si>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</si>
  <si>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</si>
  <si>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</si>
  <si>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</si>
  <si>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</si>
  <si>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</si>
  <si>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</si>
  <si>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</si>
  <si>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</si>
  <si>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</si>
  <si>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</si>
  <si>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</si>
  <si>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</si>
  <si>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</si>
  <si>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</si>
  <si>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</si>
  <si>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</si>
  <si>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</si>
  <si>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</si>
  <si>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</si>
  <si>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</si>
  <si>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</si>
  <si>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</si>
  <si>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</si>
  <si>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</si>
  <si>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</si>
  <si>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</si>
  <si>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</si>
  <si>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967</t>
  </si>
  <si>
    <t>968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</si>
  <si>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</si>
  <si>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</si>
  <si>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</si>
  <si>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</si>
  <si>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</si>
  <si>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</si>
  <si>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</si>
  <si>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</si>
  <si>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</si>
  <si>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</si>
  <si>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</si>
  <si>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</si>
  <si>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</si>
  <si>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</si>
  <si>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</si>
  <si>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</si>
  <si>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</si>
  <si>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</si>
  <si>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</si>
  <si>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</si>
  <si>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</si>
  <si>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</si>
  <si>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</si>
  <si>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</si>
  <si>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</si>
  <si>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</si>
  <si>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</si>
  <si>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</si>
  <si>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</si>
  <si>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= error ("Invalid Zip Code")</t>
  </si>
  <si>
    <t>State</t>
  </si>
  <si>
    <t>AK</t>
  </si>
  <si>
    <t>AL</t>
  </si>
  <si>
    <t>AR</t>
  </si>
  <si>
    <t>AZ</t>
  </si>
  <si>
    <t>CO</t>
  </si>
  <si>
    <t>DC</t>
  </si>
  <si>
    <t>DE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</si>
  <si>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</si>
  <si>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</si>
  <si>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</si>
  <si>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</si>
  <si>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</si>
  <si>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</si>
  <si>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</si>
  <si>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</si>
  <si>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</si>
  <si>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</si>
  <si>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</si>
  <si>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</si>
  <si>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</si>
  <si>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</si>
  <si>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</si>
  <si>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</si>
  <si>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</si>
  <si>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</si>
  <si>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</si>
  <si>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</si>
  <si>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NV</t>
  </si>
  <si>
    <t>OH</t>
  </si>
  <si>
    <t>OK</t>
  </si>
  <si>
    <t>PA</t>
  </si>
  <si>
    <t>RI</t>
  </si>
  <si>
    <t>SC</t>
  </si>
  <si>
    <t>SD</t>
  </si>
  <si>
    <t>TN</t>
  </si>
  <si>
    <t>TX</t>
  </si>
  <si>
    <t>UT</t>
  </si>
  <si>
    <t>WI</t>
  </si>
  <si>
    <t>WV</t>
  </si>
  <si>
    <t>WY</t>
  </si>
  <si>
    <t>[1-18]</t>
  </si>
  <si>
    <t>[19-30]</t>
  </si>
  <si>
    <t>[31-42]</t>
  </si>
  <si>
    <t>[43-54]</t>
  </si>
  <si>
    <t>&gt;=55</t>
  </si>
  <si>
    <t xml:space="preserve">//Not going to be implemented. Reserved for future </t>
  </si>
  <si>
    <t>M</t>
  </si>
  <si>
    <t>AssumptionPercentage</t>
  </si>
  <si>
    <t>Gender</t>
  </si>
  <si>
    <t>TobaccoClass</t>
  </si>
  <si>
    <t>=BlendedGenderAssumption (gender) * TobaccoClassAssumption (tobaccoClass, gender)</t>
  </si>
  <si>
    <t>//R4</t>
  </si>
  <si>
    <t>18 - 24</t>
  </si>
  <si>
    <t>AAEB WHL Model*</t>
  </si>
  <si>
    <t>FiveYearAgeBandLimited</t>
  </si>
  <si>
    <t>CoverageCode</t>
  </si>
  <si>
    <t>WaiverOfPremium</t>
  </si>
  <si>
    <t>= getValues(FiveYearsAgeBand)</t>
  </si>
  <si>
    <t>OneYearAgeBandLimited</t>
  </si>
  <si>
    <t>= add("18","19","20","21","22","23","24","25","26","27","28","29","30","31","32","33","34","35","36","37","38","39","40","41","42","43","44","45","46","47","48","49","50")</t>
  </si>
  <si>
    <t>= add("18","19","20","21","22","23","24","25","26","27","28","29","30","31","32","33","34","35","36","37","38","39","40","41","42","43","44","45","46","47","48","49","50","51","52","53","54","55","56","57","58","59","60","61","62","63","64","65")</t>
  </si>
  <si>
    <t>= getValues(OneYearAgeBand)</t>
  </si>
  <si>
    <t>SpouseTermLife</t>
  </si>
  <si>
    <t>= null</t>
  </si>
  <si>
    <t>//R12_ADB100</t>
  </si>
  <si>
    <t>//R14_EOB200</t>
  </si>
  <si>
    <t>//R14_EOB300</t>
  </si>
  <si>
    <t>//R13</t>
  </si>
  <si>
    <t>AnnualPremiumConstance</t>
  </si>
  <si>
    <t>Earnings Mode</t>
  </si>
  <si>
    <t>Rate</t>
  </si>
  <si>
    <t>Annual</t>
  </si>
  <si>
    <t>SemiAnnual</t>
  </si>
  <si>
    <t>Quarterly</t>
  </si>
  <si>
    <t>Ninthly</t>
  </si>
  <si>
    <t>Tenthly</t>
  </si>
  <si>
    <t>Monthly</t>
  </si>
  <si>
    <t>SemiMonthly</t>
  </si>
  <si>
    <t>BiWeekly</t>
  </si>
  <si>
    <t>Weekly</t>
  </si>
  <si>
    <t>0.1111111111111111</t>
  </si>
  <si>
    <t>0.08333333333333333</t>
  </si>
  <si>
    <t>0.041666666666666664</t>
  </si>
  <si>
    <t>0.038461538461538464</t>
  </si>
  <si>
    <t>0.019230769230769232</t>
  </si>
  <si>
    <t>60 - 64</t>
  </si>
  <si>
    <t>65 - 70</t>
  </si>
  <si>
    <t>= add("18 - 24","25 - 29","30 - 34","35 - 39","40 - 44","45 - 49","50 - 54","55 - 59","60 - 64", "65 - 70")</t>
  </si>
  <si>
    <r>
      <t xml:space="preserve">SmartLookup Double </t>
    </r>
    <r>
      <rPr>
        <b/>
        <sz val="10"/>
        <rFont val="Franklin Gothic Book"/>
        <family val="2"/>
      </rPr>
      <t>BaseRawRates</t>
    </r>
    <r>
      <rPr>
        <sz val="10"/>
        <color theme="0" tint="-0.499984740745262"/>
        <rFont val="Franklin Gothic Book"/>
        <family val="2"/>
      </rPr>
      <t xml:space="preserve"> ( Age age, Gender gender, TobaccoClass tobaccoClass )</t>
    </r>
  </si>
  <si>
    <r>
      <t xml:space="preserve">SmartLookup Double </t>
    </r>
    <r>
      <rPr>
        <b/>
        <sz val="10"/>
        <rFont val="Franklin Gothic Book"/>
        <family val="2"/>
      </rPr>
      <t>WaiverRawRates</t>
    </r>
    <r>
      <rPr>
        <sz val="10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( Age age, Gender gender, TobaccoClass tobaccoClass )</t>
    </r>
  </si>
  <si>
    <r>
      <t xml:space="preserve">SmartLookup Double </t>
    </r>
    <r>
      <rPr>
        <b/>
        <sz val="10"/>
        <rFont val="Franklin Gothic Book"/>
        <family val="2"/>
      </rPr>
      <t>BlendedAgeAndTobaccoAssumption</t>
    </r>
    <r>
      <rPr>
        <sz val="10"/>
        <color theme="0" tint="-0.499984740745262"/>
        <rFont val="Franklin Gothic Book"/>
        <family val="2"/>
      </rPr>
      <t xml:space="preserve"> ( Integer age, Gender gender, TobaccoClass tobaccoClass )</t>
    </r>
  </si>
  <si>
    <r>
      <t xml:space="preserve">SmartLookup Double </t>
    </r>
    <r>
      <rPr>
        <b/>
        <sz val="10"/>
        <rFont val="Franklin Gothic Book"/>
        <family val="2"/>
      </rPr>
      <t>BlendedAgeAndTobaccoAssumptionTobaccoDistinct</t>
    </r>
    <r>
      <rPr>
        <sz val="10"/>
        <color theme="0" tint="-0.499984740745262"/>
        <rFont val="Franklin Gothic Book"/>
        <family val="2"/>
      </rPr>
      <t xml:space="preserve"> ( Integer age, Gender gender, TobaccoClass tobaccoClass )</t>
    </r>
  </si>
  <si>
    <r>
      <t xml:space="preserve">SimpleRules Double </t>
    </r>
    <r>
      <rPr>
        <b/>
        <sz val="10"/>
        <rFont val="Franklin Gothic Book"/>
        <family val="2"/>
      </rPr>
      <t>BlendedGenderAssumption</t>
    </r>
    <r>
      <rPr>
        <sz val="10"/>
        <color theme="0" tint="-0.499984740745262"/>
        <rFont val="Franklin Gothic Book"/>
        <family val="2"/>
      </rPr>
      <t xml:space="preserve"> (Gender gender)</t>
    </r>
  </si>
  <si>
    <r>
      <t xml:space="preserve">SmartLookup Double </t>
    </r>
    <r>
      <rPr>
        <b/>
        <sz val="10"/>
        <rFont val="Franklin Gothic Book"/>
        <family val="2"/>
      </rPr>
      <t>TobaccoClassAssumption</t>
    </r>
    <r>
      <rPr>
        <sz val="10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( TobaccoClass tobaccoClass, Gender gender )</t>
    </r>
  </si>
  <si>
    <r>
      <t xml:space="preserve">SmartRules Double </t>
    </r>
    <r>
      <rPr>
        <b/>
        <sz val="10"/>
        <rFont val="Franklin Gothic Book"/>
        <family val="2"/>
      </rPr>
      <t>ADBTerminalIlnessMonthlyRate</t>
    </r>
    <r>
      <rPr>
        <sz val="10"/>
        <color theme="0" tint="-0.499984740745262"/>
        <rFont val="Franklin Gothic Book"/>
        <family val="2"/>
      </rPr>
      <t xml:space="preserve"> (Age age )</t>
    </r>
  </si>
  <si>
    <r>
      <t xml:space="preserve">SmartRules Double </t>
    </r>
    <r>
      <rPr>
        <b/>
        <sz val="10"/>
        <rFont val="Franklin Gothic Book"/>
        <family val="2"/>
      </rPr>
      <t>LumpSumMonthlyRate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( Age age )</t>
    </r>
  </si>
  <si>
    <r>
      <t xml:space="preserve">SmartRules Double </t>
    </r>
    <r>
      <rPr>
        <b/>
        <sz val="10"/>
        <rFont val="Franklin Gothic Book"/>
        <family val="2"/>
      </rPr>
      <t>MonthlyADBChronicIllnessAnnualPremium</t>
    </r>
    <r>
      <rPr>
        <sz val="10"/>
        <color theme="0" tint="-0.499984740745262"/>
        <rFont val="Franklin Gothic Book"/>
        <family val="2"/>
      </rPr>
      <t xml:space="preserve"> ( Age age )</t>
    </r>
  </si>
  <si>
    <r>
      <t xml:space="preserve">SmartRules Double </t>
    </r>
    <r>
      <rPr>
        <b/>
        <sz val="10"/>
        <rFont val="Franklin Gothic Book"/>
        <family val="2"/>
      </rPr>
      <t>MonthlyADBChronicIllnessRestorationAnnualPremium</t>
    </r>
    <r>
      <rPr>
        <sz val="10"/>
        <color theme="0" tint="-0.499984740745262"/>
        <rFont val="Franklin Gothic Book"/>
        <family val="2"/>
      </rPr>
      <t xml:space="preserve"> ( Age age )</t>
    </r>
  </si>
  <si>
    <r>
      <t xml:space="preserve">SmartRules Double </t>
    </r>
    <r>
      <rPr>
        <b/>
        <sz val="10"/>
        <rFont val="Franklin Gothic Book"/>
        <family val="2"/>
      </rPr>
      <t>ADBDisabilityAnnualPremium</t>
    </r>
    <r>
      <rPr>
        <sz val="10"/>
        <color theme="0" tint="-0.499984740745262"/>
        <rFont val="Franklin Gothic Book"/>
        <family val="2"/>
      </rPr>
      <t xml:space="preserve"> ( Age age )</t>
    </r>
  </si>
  <si>
    <r>
      <t xml:space="preserve">SmartRules Double </t>
    </r>
    <r>
      <rPr>
        <b/>
        <sz val="10"/>
        <rFont val="Franklin Gothic Book"/>
        <family val="2"/>
      </rPr>
      <t>SpouseTermAnnualPremium</t>
    </r>
    <r>
      <rPr>
        <sz val="10"/>
        <color theme="0" tint="-0.499984740745262"/>
        <rFont val="Franklin Gothic Book"/>
        <family val="2"/>
      </rPr>
      <t xml:space="preserve"> ( Age age )</t>
    </r>
  </si>
  <si>
    <r>
      <t>SmartRules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Double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b/>
        <sz val="10"/>
        <rFont val="Franklin Gothic Book"/>
        <family val="2"/>
      </rPr>
      <t>ADDAnnualPremium</t>
    </r>
    <r>
      <rPr>
        <sz val="10"/>
        <color theme="0" tint="-0.499984740745262"/>
        <rFont val="Franklin Gothic Book"/>
        <family val="2"/>
      </rPr>
      <t xml:space="preserve"> ( Age age )</t>
    </r>
  </si>
  <si>
    <r>
      <t>SmartLookup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 xml:space="preserve">Double </t>
    </r>
    <r>
      <rPr>
        <b/>
        <sz val="10"/>
        <rFont val="Franklin Gothic Book"/>
        <family val="2"/>
      </rPr>
      <t>ADB100AnnualPremium</t>
    </r>
    <r>
      <rPr>
        <sz val="10"/>
        <color theme="0" tint="-0.499984740745262"/>
        <rFont val="Franklin Gothic Book"/>
        <family val="2"/>
      </rPr>
      <t xml:space="preserve"> ( Age age, AcceleratedPct acceleratedPct, TobaccoClass tobaccoClass)</t>
    </r>
  </si>
  <si>
    <r>
      <t>SmartLookup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Double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b/>
        <sz val="10"/>
        <rFont val="Franklin Gothic Book"/>
        <family val="2"/>
      </rPr>
      <t>EOB200AnnualPremium</t>
    </r>
    <r>
      <rPr>
        <sz val="10"/>
        <color theme="0" tint="-0.499984740745262"/>
        <rFont val="Franklin Gothic Book"/>
        <family val="2"/>
      </rPr>
      <t xml:space="preserve"> ( Age age, AcceleratedPct acceleratedPct, TobaccoClass tobaccoClass )</t>
    </r>
  </si>
  <si>
    <r>
      <t>SmartLookup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Double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b/>
        <sz val="10"/>
        <rFont val="Franklin Gothic Book"/>
        <family val="2"/>
      </rPr>
      <t>R13AnnualPremium</t>
    </r>
    <r>
      <rPr>
        <sz val="10"/>
        <color theme="0" tint="-0.499984740745262"/>
        <rFont val="Franklin Gothic Book"/>
        <family val="2"/>
      </rPr>
      <t xml:space="preserve"> ( Age age,TobaccoClass tobaccoClass,AcceleratedPct acceleratedPct, RestorationPct restorationPct)</t>
    </r>
  </si>
  <si>
    <r>
      <t>SmartLookup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</rPr>
      <t>Double</t>
    </r>
    <r>
      <rPr>
        <b/>
        <sz val="10"/>
        <color theme="0" tint="-0.499984740745262"/>
        <rFont val="Franklin Gothic Book"/>
        <family val="2"/>
      </rPr>
      <t xml:space="preserve"> </t>
    </r>
    <r>
      <rPr>
        <b/>
        <sz val="10"/>
        <rFont val="Franklin Gothic Book"/>
        <family val="2"/>
      </rPr>
      <t>EOB300AnnualPremium</t>
    </r>
    <r>
      <rPr>
        <sz val="10"/>
        <color theme="0" tint="-0.499984740745262"/>
        <rFont val="Franklin Gothic Book"/>
        <family val="2"/>
      </rPr>
      <t xml:space="preserve"> ( Age age, AcceleratedPct acceleratedPct, TobaccoClass tobaccoClass )</t>
    </r>
  </si>
  <si>
    <r>
      <t xml:space="preserve">SmartRules Double </t>
    </r>
    <r>
      <rPr>
        <b/>
        <sz val="10"/>
        <rFont val="Franklin Gothic Book"/>
        <family val="2"/>
      </rPr>
      <t xml:space="preserve">ChildTermAnnualPremium </t>
    </r>
    <r>
      <rPr>
        <sz val="10"/>
        <color theme="0" tint="-0.499984740745262"/>
        <rFont val="Franklin Gothic Book"/>
        <family val="2"/>
      </rPr>
      <t>( Age age)</t>
    </r>
  </si>
  <si>
    <r>
      <t xml:space="preserve">SimpleRules Double </t>
    </r>
    <r>
      <rPr>
        <b/>
        <sz val="11"/>
        <rFont val="Franklin Gothic Book"/>
        <family val="2"/>
      </rPr>
      <t>OneYearAgeBandDistribution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(OneYearAgeBand ageBand)</t>
    </r>
  </si>
  <si>
    <r>
      <t xml:space="preserve">SmartRules OneYearAgeBand[] </t>
    </r>
    <r>
      <rPr>
        <b/>
        <sz val="11"/>
        <rFont val="Franklin Gothic Book"/>
        <family val="2"/>
      </rPr>
      <t>AllOneYearAgeBandsTailored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(CoverageCode coverageCode)</t>
    </r>
  </si>
  <si>
    <r>
      <t xml:space="preserve">SimpleRules Double </t>
    </r>
    <r>
      <rPr>
        <b/>
        <sz val="11"/>
        <rFont val="Franklin Gothic Book"/>
        <family val="2"/>
      </rPr>
      <t>FiveYearsAgeBandDistribution</t>
    </r>
    <r>
      <rPr>
        <sz val="11"/>
        <color theme="0" tint="-0.499984740745262"/>
        <rFont val="Franklin Gothic Book"/>
        <family val="2"/>
      </rPr>
      <t xml:space="preserve"> (FiveYearsAgeBand ageBand)</t>
    </r>
  </si>
  <si>
    <r>
      <t xml:space="preserve">SimpleRules Double </t>
    </r>
    <r>
      <rPr>
        <b/>
        <sz val="11"/>
        <color theme="1"/>
        <rFont val="Franklin Gothic Book"/>
        <family val="2"/>
      </rPr>
      <t>RateGuaranteeFactor</t>
    </r>
    <r>
      <rPr>
        <sz val="11"/>
        <color theme="1"/>
        <rFont val="Franklin Gothic Book"/>
        <family val="2"/>
      </rPr>
      <t xml:space="preserve"> (Integer rateGuaranteePeriod)</t>
    </r>
  </si>
  <si>
    <r>
      <t xml:space="preserve">SimpleRules Double </t>
    </r>
    <r>
      <rPr>
        <b/>
        <sz val="11"/>
        <rFont val="Franklin Gothic Book"/>
        <family val="2"/>
      </rPr>
      <t>ModalFactor</t>
    </r>
    <r>
      <rPr>
        <b/>
        <sz val="11"/>
        <color theme="0" tint="-0.499984740745262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(PremiumMode premiumMode)</t>
    </r>
  </si>
  <si>
    <r>
      <t xml:space="preserve">SimpleRules Double </t>
    </r>
    <r>
      <rPr>
        <b/>
        <sz val="11"/>
        <rFont val="Franklin Gothic Book"/>
        <family val="2"/>
      </rPr>
      <t>LossRatio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(State state )</t>
    </r>
  </si>
  <si>
    <r>
      <t xml:space="preserve">SimpleRules Double </t>
    </r>
    <r>
      <rPr>
        <b/>
        <sz val="11"/>
        <rFont val="Franklin Gothic Book"/>
        <family val="2"/>
      </rPr>
      <t>EarningsRate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(EarningsMode earningsMode)</t>
    </r>
  </si>
  <si>
    <r>
      <t xml:space="preserve">SmartRules CompositeAgeBand[] </t>
    </r>
    <r>
      <rPr>
        <b/>
        <sz val="11"/>
        <rFont val="Franklin Gothic Book"/>
        <family val="2"/>
      </rPr>
      <t>CompositeAgeBandTailored</t>
    </r>
    <r>
      <rPr>
        <sz val="11"/>
        <rFont val="Franklin Gothic Book"/>
        <family val="2"/>
      </rPr>
      <t xml:space="preserve"> </t>
    </r>
    <r>
      <rPr>
        <sz val="11"/>
        <color theme="0" tint="-0.499984740745262"/>
        <rFont val="Franklin Gothic Book"/>
        <family val="2"/>
      </rPr>
      <t>(CoverageCode coverageCode)</t>
    </r>
  </si>
  <si>
    <t>ChildTermLife, AccidentalDeathAndDismemberment</t>
  </si>
  <si>
    <t>= getValues(CompositeAgeBand)</t>
  </si>
  <si>
    <t>SpouseWholeLife, EmployeeWholeLife</t>
  </si>
  <si>
    <t>SpouseTermLife, ChildTermLife, AccidentalDeathAndDismemberment</t>
  </si>
  <si>
    <r>
      <t xml:space="preserve">SmartRules String[] </t>
    </r>
    <r>
      <rPr>
        <b/>
        <sz val="11"/>
        <rFont val="Franklin Gothic Book"/>
        <family val="2"/>
      </rPr>
      <t>AllFiveYearsAgeBandsTailored</t>
    </r>
    <r>
      <rPr>
        <sz val="11"/>
        <color theme="0" tint="-0.499984740745262"/>
        <rFont val="Franklin Gothic Book"/>
        <family val="2"/>
      </rPr>
      <t xml:space="preserve"> (CoverageCode coverageCode)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</si>
</sst>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%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b/>
      <sz val="10"/>
      <color theme="1"/>
      <name val="Franklin Gothic Book"/>
      <family val="2"/>
    </font>
    <font>
      <sz val="10"/>
      <name val="Franklin Gothic Book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color theme="0" tint="-0.499984740745262"/>
      <name val="Franklin Gothic Book"/>
      <family val="2"/>
    </font>
    <font>
      <sz val="11"/>
      <color theme="0" tint="-0.499984740745262"/>
      <name val="Franklin Gothic Book"/>
      <family val="2"/>
    </font>
    <font>
      <b/>
      <sz val="11"/>
      <color theme="0" tint="-0.499984740745262"/>
      <name val="Franklin Gothic Book"/>
      <family val="2"/>
    </font>
    <font>
      <sz val="11"/>
      <name val="Franklin Gothic Book"/>
      <family val="2"/>
    </font>
    <font>
      <b/>
      <sz val="11"/>
      <name val="Franklin Gothic Book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AA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68">
    <xf numFmtId="0" fontId="0" fillId="0" borderId="0" xfId="0"/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49" fontId="7" fillId="4" borderId="0" xfId="0" applyNumberFormat="1" applyFont="1" applyFill="1" applyAlignment="1">
      <alignment horizontal="center"/>
    </xf>
    <xf numFmtId="2" fontId="7" fillId="2" borderId="0" xfId="1" quotePrefix="1" applyNumberFormat="1" applyFont="1" applyFill="1" applyBorder="1" applyAlignment="1">
      <alignment horizontal="center"/>
    </xf>
    <xf numFmtId="49" fontId="7" fillId="4" borderId="2" xfId="0" applyNumberFormat="1" applyFont="1" applyFill="1" applyBorder="1" applyAlignment="1">
      <alignment horizontal="center"/>
    </xf>
    <xf numFmtId="2" fontId="7" fillId="2" borderId="2" xfId="1" quotePrefix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1" quotePrefix="1" applyNumberFormat="1" applyFont="1" applyFill="1" applyBorder="1" applyAlignment="1">
      <alignment horizontal="center"/>
    </xf>
    <xf numFmtId="0" fontId="3" fillId="0" borderId="0" xfId="0" applyFont="1"/>
    <xf numFmtId="0" fontId="6" fillId="5" borderId="1" xfId="0" applyFont="1" applyFill="1" applyBorder="1" applyAlignment="1">
      <alignment horizontal="center"/>
    </xf>
    <xf numFmtId="2" fontId="7" fillId="2" borderId="2" xfId="1" quotePrefix="1" applyNumberFormat="1" applyFont="1" applyFill="1" applyBorder="1" applyAlignment="1">
      <alignment horizontal="right"/>
    </xf>
    <xf numFmtId="49" fontId="7" fillId="0" borderId="0" xfId="0" applyNumberFormat="1" applyFont="1" applyAlignment="1">
      <alignment horizontal="center"/>
    </xf>
    <xf numFmtId="0" fontId="8" fillId="0" borderId="0" xfId="0" applyFont="1"/>
    <xf numFmtId="0" fontId="8" fillId="0" borderId="2" xfId="0" applyFont="1" applyBorder="1"/>
    <xf numFmtId="0" fontId="8" fillId="3" borderId="2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8" fillId="0" borderId="3" xfId="0" applyFont="1" applyBorder="1"/>
    <xf numFmtId="0" fontId="8" fillId="3" borderId="3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" fontId="3" fillId="0" borderId="0" xfId="0" quotePrefix="1" applyNumberFormat="1" applyFont="1" applyAlignment="1">
      <alignment horizontal="center" vertical="top" wrapText="1"/>
    </xf>
    <xf numFmtId="43" fontId="8" fillId="3" borderId="3" xfId="3" applyNumberFormat="1" applyFont="1" applyFill="1" applyBorder="1" applyAlignment="1">
      <alignment horizontal="center" vertical="center"/>
    </xf>
    <xf numFmtId="43" fontId="8" fillId="3" borderId="3" xfId="3" applyNumberFormat="1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43" fontId="8" fillId="3" borderId="0" xfId="3" applyNumberFormat="1" applyFont="1" applyFill="1" applyAlignment="1">
      <alignment horizontal="left" vertical="center"/>
    </xf>
    <xf numFmtId="0" fontId="8" fillId="4" borderId="10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1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43" fontId="8" fillId="3" borderId="2" xfId="3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3" fillId="0" borderId="0" xfId="0" applyNumberFormat="1" applyFont="1"/>
    <xf numFmtId="0" fontId="3" fillId="4" borderId="2" xfId="0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5" borderId="3" xfId="0" applyFont="1" applyFill="1" applyBorder="1" applyAlignment="1">
      <alignment horizontal="center"/>
    </xf>
    <xf numFmtId="10" fontId="6" fillId="8" borderId="15" xfId="0" applyNumberFormat="1" applyFont="1" applyFill="1" applyBorder="1" applyAlignment="1">
      <alignment horizontal="center"/>
    </xf>
    <xf numFmtId="10" fontId="6" fillId="8" borderId="13" xfId="0" applyNumberFormat="1" applyFont="1" applyFill="1" applyBorder="1" applyAlignment="1">
      <alignment horizontal="center"/>
    </xf>
    <xf numFmtId="10" fontId="6" fillId="8" borderId="12" xfId="0" applyNumberFormat="1" applyFont="1" applyFill="1" applyBorder="1" applyAlignment="1">
      <alignment horizontal="center"/>
    </xf>
    <xf numFmtId="10" fontId="6" fillId="8" borderId="1" xfId="0" applyNumberFormat="1" applyFont="1" applyFill="1" applyBorder="1" applyAlignment="1">
      <alignment horizontal="center"/>
    </xf>
    <xf numFmtId="2" fontId="3" fillId="13" borderId="0" xfId="0" applyNumberFormat="1" applyFont="1" applyFill="1" applyAlignment="1">
      <alignment horizontal="center"/>
    </xf>
    <xf numFmtId="10" fontId="6" fillId="8" borderId="14" xfId="0" applyNumberFormat="1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/>
    </xf>
    <xf numFmtId="2" fontId="7" fillId="13" borderId="0" xfId="0" applyNumberFormat="1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3" borderId="6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7" xfId="0" applyFont="1" applyFill="1" applyBorder="1" applyAlignment="1">
      <alignment horizontal="center"/>
    </xf>
    <xf numFmtId="0" fontId="3" fillId="13" borderId="10" xfId="0" applyFont="1" applyFill="1" applyBorder="1" applyAlignment="1">
      <alignment horizontal="center"/>
    </xf>
    <xf numFmtId="0" fontId="3" fillId="13" borderId="11" xfId="0" applyFont="1" applyFill="1" applyBorder="1" applyAlignment="1">
      <alignment horizontal="center"/>
    </xf>
    <xf numFmtId="1" fontId="3" fillId="4" borderId="0" xfId="0" applyNumberFormat="1" applyFont="1" applyFill="1" applyAlignment="1">
      <alignment horizontal="center"/>
    </xf>
    <xf numFmtId="2" fontId="3" fillId="13" borderId="10" xfId="0" applyNumberFormat="1" applyFont="1" applyFill="1" applyBorder="1" applyAlignment="1">
      <alignment horizontal="center"/>
    </xf>
    <xf numFmtId="2" fontId="3" fillId="13" borderId="11" xfId="0" applyNumberFormat="1" applyFont="1" applyFill="1" applyBorder="1" applyAlignment="1">
      <alignment horizontal="center"/>
    </xf>
    <xf numFmtId="2" fontId="3" fillId="13" borderId="2" xfId="0" applyNumberFormat="1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13" borderId="9" xfId="0" applyFont="1" applyFill="1" applyBorder="1" applyAlignment="1">
      <alignment horizontal="center"/>
    </xf>
    <xf numFmtId="0" fontId="7" fillId="13" borderId="8" xfId="0" applyFont="1" applyFill="1" applyBorder="1" applyAlignment="1">
      <alignment horizontal="center"/>
    </xf>
    <xf numFmtId="2" fontId="7" fillId="13" borderId="2" xfId="0" applyNumberFormat="1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8" xfId="0" applyFont="1" applyFill="1" applyBorder="1" applyAlignment="1">
      <alignment horizontal="center"/>
    </xf>
    <xf numFmtId="0" fontId="3" fillId="13" borderId="9" xfId="0" applyFont="1" applyFill="1" applyBorder="1" applyAlignment="1">
      <alignment horizontal="center"/>
    </xf>
    <xf numFmtId="0" fontId="8" fillId="0" borderId="16" xfId="0" applyFont="1" applyBorder="1"/>
    <xf numFmtId="2" fontId="3" fillId="2" borderId="0" xfId="0" applyNumberFormat="1" applyFont="1" applyFill="1" applyAlignment="1">
      <alignment horizontal="center"/>
    </xf>
    <xf numFmtId="2" fontId="3" fillId="2" borderId="2" xfId="0" applyNumberFormat="1" applyFont="1" applyFill="1" applyBorder="1" applyAlignment="1">
      <alignment horizontal="center"/>
    </xf>
    <xf numFmtId="164" fontId="8" fillId="0" borderId="0" xfId="2" applyNumberFormat="1" applyFont="1" applyAlignment="1">
      <alignment horizontal="center" vertical="center"/>
    </xf>
    <xf numFmtId="165" fontId="8" fillId="0" borderId="0" xfId="2" applyNumberFormat="1" applyFont="1" applyAlignment="1">
      <alignment horizontal="center"/>
    </xf>
    <xf numFmtId="164" fontId="8" fillId="0" borderId="2" xfId="2" applyNumberFormat="1" applyFont="1" applyBorder="1" applyAlignment="1">
      <alignment horizontal="center" vertical="center"/>
    </xf>
    <xf numFmtId="165" fontId="8" fillId="0" borderId="0" xfId="0" applyNumberFormat="1" applyFont="1"/>
    <xf numFmtId="165" fontId="8" fillId="12" borderId="0" xfId="2" applyNumberFormat="1" applyFont="1" applyFill="1" applyAlignment="1">
      <alignment horizontal="center"/>
    </xf>
    <xf numFmtId="165" fontId="8" fillId="12" borderId="2" xfId="2" applyNumberFormat="1" applyFont="1" applyFill="1" applyBorder="1" applyAlignment="1">
      <alignment horizontal="center"/>
    </xf>
    <xf numFmtId="10" fontId="8" fillId="0" borderId="0" xfId="0" applyNumberFormat="1" applyFont="1"/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13" fillId="0" borderId="0" xfId="0" applyFont="1"/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8" fillId="0" borderId="0" xfId="2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5" fontId="8" fillId="2" borderId="0" xfId="2" applyNumberFormat="1" applyFont="1" applyFill="1" applyAlignment="1">
      <alignment horizontal="center"/>
    </xf>
    <xf numFmtId="165" fontId="8" fillId="2" borderId="0" xfId="2" quotePrefix="1" applyNumberFormat="1" applyFont="1" applyFill="1" applyAlignment="1">
      <alignment horizontal="center" wrapText="1"/>
    </xf>
    <xf numFmtId="165" fontId="8" fillId="2" borderId="2" xfId="2" quotePrefix="1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0" borderId="0" xfId="0" applyFont="1" applyAlignment="1">
      <alignment wrapText="1"/>
    </xf>
    <xf numFmtId="0" fontId="8" fillId="6" borderId="0" xfId="0" applyFont="1" applyFill="1"/>
    <xf numFmtId="0" fontId="13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3" fillId="0" borderId="2" xfId="0" applyFont="1" applyBorder="1"/>
    <xf numFmtId="0" fontId="8" fillId="0" borderId="2" xfId="0" applyFont="1" applyBorder="1" applyAlignment="1">
      <alignment horizontal="left" vertical="center"/>
    </xf>
    <xf numFmtId="10" fontId="8" fillId="0" borderId="0" xfId="0" applyNumberFormat="1" applyFont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0" fontId="8" fillId="6" borderId="0" xfId="0" applyFont="1" applyFill="1" applyAlignment="1">
      <alignment horizontal="left"/>
    </xf>
    <xf numFmtId="0" fontId="9" fillId="5" borderId="15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3" fillId="3" borderId="3" xfId="0" quotePrefix="1" applyNumberFormat="1" applyFont="1" applyFill="1" applyBorder="1" applyAlignment="1">
      <alignment horizontal="center" vertical="top" wrapText="1"/>
    </xf>
    <xf numFmtId="2" fontId="3" fillId="3" borderId="0" xfId="0" quotePrefix="1" applyNumberFormat="1" applyFont="1" applyFill="1" applyAlignment="1">
      <alignment horizontal="center" vertical="top" wrapText="1"/>
    </xf>
    <xf numFmtId="2" fontId="3" fillId="3" borderId="2" xfId="0" quotePrefix="1" applyNumberFormat="1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center"/>
    </xf>
    <xf numFmtId="10" fontId="6" fillId="8" borderId="14" xfId="0" applyNumberFormat="1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0" fontId="6" fillId="8" borderId="3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10" fontId="6" fillId="8" borderId="6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6" fillId="8" borderId="14" xfId="0" applyNumberFormat="1" applyFont="1" applyFill="1" applyBorder="1" applyAlignment="1">
      <alignment horizontal="center"/>
    </xf>
    <xf numFmtId="0" fontId="11" fillId="0" borderId="1" xfId="0" applyFont="1" applyBorder="1" applyAlignment="1">
      <alignment vertical="center" wrapText="1"/>
    </xf>
    <xf numFmtId="0" fontId="6" fillId="8" borderId="12" xfId="0" applyFont="1" applyFill="1" applyBorder="1" applyAlignment="1">
      <alignment horizontal="center"/>
    </xf>
    <xf numFmtId="0" fontId="9" fillId="8" borderId="15" xfId="0" applyFont="1" applyFill="1" applyBorder="1" applyAlignment="1">
      <alignment horizontal="center"/>
    </xf>
    <xf numFmtId="0" fontId="9" fillId="8" borderId="13" xfId="0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9" fillId="11" borderId="11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/>
    </xf>
  </cellXfs>
  <cellStyles count="4">
    <cellStyle name="Comma" xfId="3" builtinId="3"/>
    <cellStyle name="Comma 2 2" xfId="1" xr:uid="{B086FB1E-2D6B-427B-9B1E-70AA0C025492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BA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4F7E9-06C7-44DD-84A7-E0FA144EA764}">
  <dimension ref="B4:S59"/>
  <sheetViews>
    <sheetView topLeftCell="A12" zoomScale="85" zoomScaleNormal="85" workbookViewId="0">
      <selection activeCell="C27" sqref="C27:F27"/>
    </sheetView>
  </sheetViews>
  <sheetFormatPr baseColWidth="10" defaultColWidth="8.83203125" defaultRowHeight="13" x14ac:dyDescent="0.15"/>
  <cols>
    <col min="1" max="2" width="8.83203125" style="15" collapsed="1"/>
    <col min="3" max="6" width="15" style="15" customWidth="1" collapsed="1"/>
    <col min="7" max="8" width="8.83203125" style="15" collapsed="1"/>
    <col min="9" max="9" width="12.6640625" style="15" customWidth="1" collapsed="1"/>
    <col min="10" max="13" width="14.6640625" style="15" customWidth="1" collapsed="1"/>
    <col min="14" max="17" width="8.83203125" style="15" collapsed="1"/>
    <col min="18" max="19" width="8.83203125" style="15"/>
    <col min="20" max="16384" width="8.83203125" style="15" collapsed="1"/>
  </cols>
  <sheetData>
    <row r="4" spans="2:17" ht="26" customHeight="1" x14ac:dyDescent="0.15">
      <c r="B4" s="131" t="s">
        <v>2064</v>
      </c>
      <c r="C4" s="131"/>
      <c r="D4" s="131"/>
      <c r="E4" s="131"/>
      <c r="F4" s="131"/>
      <c r="G4" s="15" t="s">
        <v>9</v>
      </c>
      <c r="I4" s="132" t="s">
        <v>2065</v>
      </c>
      <c r="J4" s="132"/>
      <c r="K4" s="132"/>
      <c r="L4" s="132"/>
      <c r="M4" s="132"/>
      <c r="N4" s="15" t="s">
        <v>10</v>
      </c>
    </row>
    <row r="5" spans="2:17" x14ac:dyDescent="0.15">
      <c r="B5" s="134" t="s">
        <v>0</v>
      </c>
      <c r="C5" s="133" t="s">
        <v>45</v>
      </c>
      <c r="D5" s="133"/>
      <c r="E5" s="133" t="s">
        <v>46</v>
      </c>
      <c r="F5" s="133"/>
      <c r="I5" s="134" t="s">
        <v>0</v>
      </c>
      <c r="J5" s="133" t="s">
        <v>45</v>
      </c>
      <c r="K5" s="133"/>
      <c r="L5" s="133" t="s">
        <v>46</v>
      </c>
      <c r="M5" s="133"/>
    </row>
    <row r="6" spans="2:17" x14ac:dyDescent="0.15">
      <c r="B6" s="135"/>
      <c r="C6" s="50" t="s">
        <v>42</v>
      </c>
      <c r="D6" s="50" t="s">
        <v>41</v>
      </c>
      <c r="E6" s="50" t="s">
        <v>42</v>
      </c>
      <c r="F6" s="50" t="s">
        <v>41</v>
      </c>
      <c r="I6" s="135"/>
      <c r="J6" s="50" t="s">
        <v>42</v>
      </c>
      <c r="K6" s="50" t="s">
        <v>41</v>
      </c>
      <c r="L6" s="50" t="s">
        <v>42</v>
      </c>
      <c r="M6" s="50" t="s">
        <v>41</v>
      </c>
    </row>
    <row r="7" spans="2:17" x14ac:dyDescent="0.15">
      <c r="B7" s="51">
        <v>18</v>
      </c>
      <c r="C7" s="52">
        <v>7.1396300000000004</v>
      </c>
      <c r="D7" s="52">
        <v>8.3885159999999992</v>
      </c>
      <c r="E7" s="52">
        <v>8.0814339999999998</v>
      </c>
      <c r="F7" s="52">
        <v>9.4096689999999992</v>
      </c>
      <c r="I7" s="51">
        <v>18</v>
      </c>
      <c r="J7" s="52">
        <v>0.259999990463257</v>
      </c>
      <c r="K7" s="52">
        <v>0.30000001192092901</v>
      </c>
      <c r="L7" s="52">
        <v>0.20000000298023199</v>
      </c>
      <c r="M7" s="52">
        <v>0.239999994635582</v>
      </c>
    </row>
    <row r="8" spans="2:17" x14ac:dyDescent="0.15">
      <c r="B8" s="51">
        <v>19</v>
      </c>
      <c r="C8" s="52">
        <v>7.1396300000000004</v>
      </c>
      <c r="D8" s="52">
        <v>8.3885159999999992</v>
      </c>
      <c r="E8" s="52">
        <v>8.0814339999999998</v>
      </c>
      <c r="F8" s="52">
        <v>9.4096689999999992</v>
      </c>
      <c r="I8" s="51">
        <v>19</v>
      </c>
      <c r="J8" s="52">
        <v>0.259999990463257</v>
      </c>
      <c r="K8" s="52">
        <v>0.30000001192092901</v>
      </c>
      <c r="L8" s="52">
        <v>0.20000000298023199</v>
      </c>
      <c r="M8" s="52">
        <v>0.239999994635582</v>
      </c>
    </row>
    <row r="9" spans="2:17" x14ac:dyDescent="0.15">
      <c r="B9" s="51">
        <v>20</v>
      </c>
      <c r="C9" s="52">
        <v>7.1396300000000004</v>
      </c>
      <c r="D9" s="52">
        <v>8.3885159999999992</v>
      </c>
      <c r="E9" s="52">
        <v>8.0814339999999998</v>
      </c>
      <c r="F9" s="52">
        <v>9.4096689999999992</v>
      </c>
      <c r="I9" s="51">
        <v>20</v>
      </c>
      <c r="J9" s="52">
        <v>0.259999990463257</v>
      </c>
      <c r="K9" s="52">
        <v>0.30000001192092901</v>
      </c>
      <c r="L9" s="52">
        <v>0.20000000298023199</v>
      </c>
      <c r="M9" s="52">
        <v>0.239999994635582</v>
      </c>
    </row>
    <row r="10" spans="2:17" x14ac:dyDescent="0.15">
      <c r="B10" s="51">
        <v>21</v>
      </c>
      <c r="C10" s="52">
        <v>7.3026910000000003</v>
      </c>
      <c r="D10" s="52">
        <v>8.6208840000000002</v>
      </c>
      <c r="E10" s="52">
        <v>8.3147339999999996</v>
      </c>
      <c r="F10" s="52">
        <v>9.7256719999999994</v>
      </c>
      <c r="I10" s="51">
        <v>21</v>
      </c>
      <c r="J10" s="52">
        <v>0.28000000119209301</v>
      </c>
      <c r="K10" s="52">
        <v>0.34000000357627902</v>
      </c>
      <c r="L10" s="52">
        <v>0.230000004172325</v>
      </c>
      <c r="M10" s="52">
        <v>0.270000010728836</v>
      </c>
    </row>
    <row r="11" spans="2:17" x14ac:dyDescent="0.15">
      <c r="B11" s="51">
        <v>22</v>
      </c>
      <c r="C11" s="52">
        <v>7.34</v>
      </c>
      <c r="D11" s="52">
        <v>8.8673319999999993</v>
      </c>
      <c r="E11" s="52">
        <v>8.6</v>
      </c>
      <c r="F11" s="52">
        <v>10.05851</v>
      </c>
      <c r="I11" s="51">
        <v>22</v>
      </c>
      <c r="J11" s="52">
        <v>0.31000000238418601</v>
      </c>
      <c r="K11" s="52">
        <v>0.37000000476837203</v>
      </c>
      <c r="L11" s="52">
        <v>0.25</v>
      </c>
      <c r="M11" s="52">
        <v>0.28999999165535001</v>
      </c>
    </row>
    <row r="12" spans="2:17" x14ac:dyDescent="0.15">
      <c r="B12" s="51">
        <v>23</v>
      </c>
      <c r="C12" s="52">
        <v>7.3877930000000003</v>
      </c>
      <c r="D12" s="52">
        <v>9.3730810000000009</v>
      </c>
      <c r="E12" s="52">
        <v>8.8668320000000005</v>
      </c>
      <c r="F12" s="52">
        <v>10.743779999999999</v>
      </c>
      <c r="I12" s="51">
        <v>23</v>
      </c>
      <c r="J12" s="52">
        <v>0.33000001311302202</v>
      </c>
      <c r="K12" s="52">
        <v>0.40999999642372098</v>
      </c>
      <c r="L12" s="52">
        <v>0.270000010728836</v>
      </c>
      <c r="M12" s="52">
        <v>0.31999999284744302</v>
      </c>
    </row>
    <row r="13" spans="2:17" x14ac:dyDescent="0.15">
      <c r="B13" s="51">
        <v>24</v>
      </c>
      <c r="C13" s="52">
        <v>7.5827660000000003</v>
      </c>
      <c r="D13" s="52">
        <v>9.6527960000000004</v>
      </c>
      <c r="E13" s="52">
        <v>8.8885509999999996</v>
      </c>
      <c r="F13" s="52">
        <v>11.11847</v>
      </c>
      <c r="I13" s="51">
        <v>24</v>
      </c>
      <c r="J13" s="52">
        <v>0.34999999403953602</v>
      </c>
      <c r="K13" s="52">
        <v>0.43000000715255698</v>
      </c>
      <c r="L13" s="52">
        <v>0.28999999165535001</v>
      </c>
      <c r="M13" s="52">
        <v>0.34000000357627902</v>
      </c>
      <c r="P13" s="53"/>
      <c r="Q13" s="53"/>
    </row>
    <row r="14" spans="2:17" x14ac:dyDescent="0.15">
      <c r="B14" s="51">
        <v>25</v>
      </c>
      <c r="C14" s="52">
        <v>7.8074950000000003</v>
      </c>
      <c r="D14" s="52">
        <v>9.7530900000000003</v>
      </c>
      <c r="E14" s="52">
        <v>9.4938289999999999</v>
      </c>
      <c r="F14" s="52">
        <v>11.19272</v>
      </c>
      <c r="I14" s="51">
        <v>25</v>
      </c>
      <c r="J14" s="52">
        <v>0.37000000476837203</v>
      </c>
      <c r="K14" s="52">
        <v>0.46000000834464999</v>
      </c>
      <c r="L14" s="52">
        <v>0.30000001192092901</v>
      </c>
      <c r="M14" s="52">
        <v>0.36000001430511502</v>
      </c>
    </row>
    <row r="15" spans="2:17" x14ac:dyDescent="0.15">
      <c r="B15" s="51">
        <v>26</v>
      </c>
      <c r="C15" s="52">
        <v>8.0243479999999998</v>
      </c>
      <c r="D15" s="52">
        <v>10.077439999999999</v>
      </c>
      <c r="E15" s="52">
        <v>9.7931450000000009</v>
      </c>
      <c r="F15" s="52">
        <v>11.55992</v>
      </c>
      <c r="I15" s="51">
        <v>26</v>
      </c>
      <c r="J15" s="52">
        <v>0.40999999642372098</v>
      </c>
      <c r="K15" s="52">
        <v>0.519999980926514</v>
      </c>
      <c r="L15" s="52">
        <v>0.34000000357627902</v>
      </c>
      <c r="M15" s="52">
        <v>0.40000000596046398</v>
      </c>
    </row>
    <row r="16" spans="2:17" x14ac:dyDescent="0.15">
      <c r="B16" s="51">
        <v>27</v>
      </c>
      <c r="C16" s="52">
        <v>8.2533200000000004</v>
      </c>
      <c r="D16" s="52">
        <v>10.448639999999999</v>
      </c>
      <c r="E16" s="52">
        <v>9.9</v>
      </c>
      <c r="F16" s="52">
        <v>11.91334</v>
      </c>
      <c r="I16" s="51">
        <v>27</v>
      </c>
      <c r="J16" s="52">
        <v>0.43999999761581399</v>
      </c>
      <c r="K16" s="52">
        <v>0.56000000238418601</v>
      </c>
      <c r="L16" s="52">
        <v>0.36000001430511502</v>
      </c>
      <c r="M16" s="52">
        <v>0.43000000715255698</v>
      </c>
    </row>
    <row r="17" spans="2:13" x14ac:dyDescent="0.15">
      <c r="B17" s="51">
        <v>28</v>
      </c>
      <c r="C17" s="52">
        <v>8.5489359999999994</v>
      </c>
      <c r="D17" s="52">
        <v>10.84009</v>
      </c>
      <c r="E17" s="52">
        <v>10.077199999999999</v>
      </c>
      <c r="F17" s="52">
        <v>12.25534</v>
      </c>
      <c r="I17" s="51">
        <v>28</v>
      </c>
      <c r="J17" s="52">
        <v>0.479999989271164</v>
      </c>
      <c r="K17" s="52">
        <v>0.61000001430511497</v>
      </c>
      <c r="L17" s="52">
        <v>0.38999998569488498</v>
      </c>
      <c r="M17" s="52">
        <v>0.46999999880790699</v>
      </c>
    </row>
    <row r="18" spans="2:13" x14ac:dyDescent="0.15">
      <c r="B18" s="51">
        <v>29</v>
      </c>
      <c r="C18" s="52">
        <v>8.8590999999999998</v>
      </c>
      <c r="D18" s="52">
        <v>11.24981</v>
      </c>
      <c r="E18" s="52">
        <v>10.41948</v>
      </c>
      <c r="F18" s="52">
        <v>12.594329999999999</v>
      </c>
      <c r="I18" s="51">
        <v>29</v>
      </c>
      <c r="J18" s="52">
        <v>0.519999980926514</v>
      </c>
      <c r="K18" s="52">
        <v>0.66000002622604403</v>
      </c>
      <c r="L18" s="52">
        <v>0.41999998688697798</v>
      </c>
      <c r="M18" s="52">
        <v>0.50999999046325695</v>
      </c>
    </row>
    <row r="19" spans="2:13" x14ac:dyDescent="0.15">
      <c r="B19" s="51">
        <v>30</v>
      </c>
      <c r="C19" s="52">
        <v>9.1872769999999999</v>
      </c>
      <c r="D19" s="52">
        <v>11.683</v>
      </c>
      <c r="E19" s="52">
        <v>10.77643</v>
      </c>
      <c r="F19" s="52">
        <v>13.37716</v>
      </c>
      <c r="I19" s="51">
        <v>30</v>
      </c>
      <c r="J19" s="52">
        <v>0.56999999284744296</v>
      </c>
      <c r="K19" s="52">
        <v>0.72000002861022905</v>
      </c>
      <c r="L19" s="52">
        <v>0.44999998807907099</v>
      </c>
      <c r="M19" s="52">
        <v>0.55000001192092896</v>
      </c>
    </row>
    <row r="20" spans="2:13" x14ac:dyDescent="0.15">
      <c r="B20" s="51">
        <v>31</v>
      </c>
      <c r="C20" s="52">
        <v>9.5282730000000004</v>
      </c>
      <c r="D20" s="52">
        <v>12.13152</v>
      </c>
      <c r="E20" s="52">
        <v>11.1547</v>
      </c>
      <c r="F20" s="52">
        <v>13.743460000000001</v>
      </c>
      <c r="I20" s="51">
        <v>31</v>
      </c>
      <c r="J20" s="52">
        <v>0.61000001430511497</v>
      </c>
      <c r="K20" s="52">
        <v>0.77999997138977095</v>
      </c>
      <c r="L20" s="52">
        <v>0.479999989271164</v>
      </c>
      <c r="M20" s="52">
        <v>0.58999997377395597</v>
      </c>
    </row>
    <row r="21" spans="2:13" x14ac:dyDescent="0.15">
      <c r="B21" s="51">
        <v>32</v>
      </c>
      <c r="C21" s="52">
        <v>9.8851429999999993</v>
      </c>
      <c r="D21" s="52">
        <v>12.600569999999999</v>
      </c>
      <c r="E21" s="52">
        <v>11.553369999999999</v>
      </c>
      <c r="F21" s="52">
        <v>13.754440000000001</v>
      </c>
      <c r="I21" s="51">
        <v>32</v>
      </c>
      <c r="J21" s="52">
        <v>0.67000001668930098</v>
      </c>
      <c r="K21" s="52">
        <v>0.85000002384185802</v>
      </c>
      <c r="L21" s="52">
        <v>0.52999997138977095</v>
      </c>
      <c r="M21" s="52">
        <v>0.64999997615814198</v>
      </c>
    </row>
    <row r="22" spans="2:13" x14ac:dyDescent="0.15">
      <c r="B22" s="51">
        <v>33</v>
      </c>
      <c r="C22" s="52">
        <v>10.260439999999999</v>
      </c>
      <c r="D22" s="52">
        <v>13.09158</v>
      </c>
      <c r="E22" s="52">
        <v>11.97429</v>
      </c>
      <c r="F22" s="52">
        <v>14.54125</v>
      </c>
      <c r="I22" s="51">
        <v>33</v>
      </c>
      <c r="J22" s="52">
        <v>0.72000002861022905</v>
      </c>
      <c r="K22" s="52">
        <v>0.92000001668930098</v>
      </c>
      <c r="L22" s="52">
        <v>0.56999999284744296</v>
      </c>
      <c r="M22" s="52">
        <v>0.69999998807907104</v>
      </c>
    </row>
    <row r="23" spans="2:13" x14ac:dyDescent="0.15">
      <c r="B23" s="51">
        <v>34</v>
      </c>
      <c r="C23" s="52">
        <v>10.656890000000001</v>
      </c>
      <c r="D23" s="52">
        <v>13.609059999999999</v>
      </c>
      <c r="E23" s="52">
        <v>12.420540000000001</v>
      </c>
      <c r="F23" s="52">
        <v>14.60647</v>
      </c>
      <c r="I23" s="51">
        <v>34</v>
      </c>
      <c r="J23" s="52">
        <v>0.769999980926514</v>
      </c>
      <c r="K23" s="52">
        <v>0.980000019073486</v>
      </c>
      <c r="L23" s="52">
        <v>0.62000000476837203</v>
      </c>
      <c r="M23" s="52">
        <v>0.75</v>
      </c>
    </row>
    <row r="24" spans="2:13" x14ac:dyDescent="0.15">
      <c r="B24" s="51">
        <v>35</v>
      </c>
      <c r="C24" s="52">
        <v>11.08494</v>
      </c>
      <c r="D24" s="52">
        <v>14.16362</v>
      </c>
      <c r="E24" s="52">
        <v>12.900219999999999</v>
      </c>
      <c r="F24" s="52">
        <v>15.534940000000001</v>
      </c>
      <c r="I24" s="51">
        <v>35</v>
      </c>
      <c r="J24" s="52">
        <v>0.82999998331069902</v>
      </c>
      <c r="K24" s="52">
        <v>1.0599999427795399</v>
      </c>
      <c r="L24" s="52">
        <v>0.68000000715255704</v>
      </c>
      <c r="M24" s="52">
        <v>0.81000000238418601</v>
      </c>
    </row>
    <row r="25" spans="2:13" x14ac:dyDescent="0.15">
      <c r="B25" s="51">
        <v>36</v>
      </c>
      <c r="C25" s="52">
        <v>11.532439999999999</v>
      </c>
      <c r="D25" s="52">
        <v>14.74309</v>
      </c>
      <c r="E25" s="52">
        <v>13.409369999999999</v>
      </c>
      <c r="F25" s="52">
        <v>16.057300000000001</v>
      </c>
      <c r="I25" s="51">
        <v>36</v>
      </c>
      <c r="J25" s="52">
        <v>0.88999998569488503</v>
      </c>
      <c r="K25" s="52">
        <v>1.1399999856948899</v>
      </c>
      <c r="L25" s="52">
        <v>0.74000000953674305</v>
      </c>
      <c r="M25" s="52">
        <v>0.87000000476837203</v>
      </c>
    </row>
    <row r="26" spans="2:13" x14ac:dyDescent="0.15">
      <c r="B26" s="51">
        <v>37</v>
      </c>
      <c r="C26" s="52">
        <v>12.00694</v>
      </c>
      <c r="D26" s="52">
        <v>15.35774</v>
      </c>
      <c r="E26" s="52">
        <v>13.95205</v>
      </c>
      <c r="F26" s="52">
        <v>16.304120000000001</v>
      </c>
      <c r="I26" s="51">
        <v>37</v>
      </c>
      <c r="J26" s="52">
        <v>0.95999997854232799</v>
      </c>
      <c r="K26" s="52">
        <v>1.2300000190734901</v>
      </c>
      <c r="L26" s="52">
        <v>0.81000000238418601</v>
      </c>
      <c r="M26" s="52">
        <v>0.94999998807907104</v>
      </c>
    </row>
    <row r="27" spans="2:13" x14ac:dyDescent="0.15">
      <c r="B27" s="7">
        <v>38</v>
      </c>
      <c r="C27" s="52">
        <v>12.509119999999999</v>
      </c>
      <c r="D27" s="52">
        <v>16.010439999999999</v>
      </c>
      <c r="E27" s="52">
        <v>14.528449999999999</v>
      </c>
      <c r="F27" s="52">
        <v>17.051159999999999</v>
      </c>
      <c r="I27" s="7">
        <v>38</v>
      </c>
      <c r="J27" s="52">
        <v>1.04999995231628</v>
      </c>
      <c r="K27" s="52">
        <v>1.3400000333786</v>
      </c>
      <c r="L27" s="52">
        <v>0.88999998569488503</v>
      </c>
      <c r="M27" s="52">
        <v>1.03999996185303</v>
      </c>
    </row>
    <row r="28" spans="2:13" x14ac:dyDescent="0.15">
      <c r="B28" s="51">
        <v>39</v>
      </c>
      <c r="C28" s="52">
        <v>13.039619999999999</v>
      </c>
      <c r="D28" s="52">
        <v>16.702200000000001</v>
      </c>
      <c r="E28" s="52">
        <v>15.13603</v>
      </c>
      <c r="F28" s="52">
        <v>17.842379999999999</v>
      </c>
      <c r="I28" s="51">
        <v>39</v>
      </c>
      <c r="J28" s="52">
        <v>1.12000000476837</v>
      </c>
      <c r="K28" s="52">
        <v>1.4299999475479099</v>
      </c>
      <c r="L28" s="52">
        <v>0.97000002861022905</v>
      </c>
      <c r="M28" s="52">
        <v>1.12999999523163</v>
      </c>
    </row>
    <row r="29" spans="2:13" x14ac:dyDescent="0.15">
      <c r="B29" s="51">
        <v>40</v>
      </c>
      <c r="C29" s="52">
        <v>13.608269999999999</v>
      </c>
      <c r="D29" s="52">
        <v>17.442689999999999</v>
      </c>
      <c r="E29" s="52">
        <v>15.780279999999999</v>
      </c>
      <c r="F29" s="52">
        <v>18.690390000000001</v>
      </c>
      <c r="I29" s="51">
        <v>40</v>
      </c>
      <c r="J29" s="52">
        <v>1.21000003814697</v>
      </c>
      <c r="K29" s="52">
        <v>1.54999995231628</v>
      </c>
      <c r="L29" s="52">
        <v>1.0599999427795399</v>
      </c>
      <c r="M29" s="52">
        <v>1.25</v>
      </c>
    </row>
    <row r="30" spans="2:13" x14ac:dyDescent="0.15">
      <c r="B30" s="51">
        <v>41</v>
      </c>
      <c r="C30" s="52">
        <v>14.195119999999999</v>
      </c>
      <c r="D30" s="52">
        <v>18.212990000000001</v>
      </c>
      <c r="E30" s="52">
        <v>16.44746</v>
      </c>
      <c r="F30" s="52">
        <v>19.565940000000001</v>
      </c>
      <c r="I30" s="51">
        <v>41</v>
      </c>
      <c r="J30" s="52">
        <v>1.29999995231628</v>
      </c>
      <c r="K30" s="52">
        <v>1.6599999666214</v>
      </c>
      <c r="L30" s="52">
        <v>1.1599999666214</v>
      </c>
      <c r="M30" s="52">
        <v>1.37000000476837</v>
      </c>
    </row>
    <row r="31" spans="2:13" x14ac:dyDescent="0.15">
      <c r="B31" s="51">
        <v>42</v>
      </c>
      <c r="C31" s="52">
        <v>14.811640000000001</v>
      </c>
      <c r="D31" s="52">
        <v>19.02356</v>
      </c>
      <c r="E31" s="52">
        <v>17.14733</v>
      </c>
      <c r="F31" s="52">
        <v>20.48705</v>
      </c>
      <c r="I31" s="51">
        <v>42</v>
      </c>
      <c r="J31" s="52">
        <v>1.3999999761581401</v>
      </c>
      <c r="K31" s="52">
        <v>1.78999996185303</v>
      </c>
      <c r="L31" s="52">
        <v>1.2699999809265099</v>
      </c>
      <c r="M31" s="52">
        <v>1.5099999904632599</v>
      </c>
    </row>
    <row r="32" spans="2:13" x14ac:dyDescent="0.15">
      <c r="B32" s="51">
        <v>43</v>
      </c>
      <c r="C32" s="52">
        <v>15.45908</v>
      </c>
      <c r="D32" s="52">
        <v>19.875910000000001</v>
      </c>
      <c r="E32" s="52">
        <v>17.882960000000001</v>
      </c>
      <c r="F32" s="52">
        <v>21.458079999999999</v>
      </c>
      <c r="I32" s="51">
        <v>43</v>
      </c>
      <c r="J32" s="52">
        <v>1.5099999904632599</v>
      </c>
      <c r="K32" s="52">
        <v>1.9400000572204601</v>
      </c>
      <c r="L32" s="52">
        <v>1.3999999761581401</v>
      </c>
      <c r="M32" s="52">
        <v>1.6599999666214</v>
      </c>
    </row>
    <row r="33" spans="2:13" x14ac:dyDescent="0.15">
      <c r="B33" s="51">
        <v>44</v>
      </c>
      <c r="C33" s="52">
        <v>16.139800000000001</v>
      </c>
      <c r="D33" s="52">
        <v>20.771270000000001</v>
      </c>
      <c r="E33" s="52">
        <v>18.658429999999999</v>
      </c>
      <c r="F33" s="52">
        <v>22.484719999999999</v>
      </c>
      <c r="I33" s="51">
        <v>44</v>
      </c>
      <c r="J33" s="52">
        <v>1.62999999523163</v>
      </c>
      <c r="K33" s="52">
        <v>2.0899999141693102</v>
      </c>
      <c r="L33" s="52">
        <v>1.5299999713897701</v>
      </c>
      <c r="M33" s="52">
        <v>1.83000004291534</v>
      </c>
    </row>
    <row r="34" spans="2:13" x14ac:dyDescent="0.15">
      <c r="B34" s="51">
        <v>45</v>
      </c>
      <c r="C34" s="52">
        <v>16.86589</v>
      </c>
      <c r="D34" s="52">
        <v>21.718710000000002</v>
      </c>
      <c r="E34" s="52">
        <v>19.482030000000002</v>
      </c>
      <c r="F34" s="52">
        <v>23.580649999999999</v>
      </c>
      <c r="I34" s="51">
        <v>45</v>
      </c>
      <c r="J34" s="52">
        <v>1.75</v>
      </c>
      <c r="K34" s="52">
        <v>2.25</v>
      </c>
      <c r="L34" s="52">
        <v>1.6799999475479099</v>
      </c>
      <c r="M34" s="52">
        <v>2.0199999809265101</v>
      </c>
    </row>
    <row r="35" spans="2:13" x14ac:dyDescent="0.15">
      <c r="B35" s="51">
        <v>46</v>
      </c>
      <c r="C35" s="52">
        <v>17.620609999999999</v>
      </c>
      <c r="D35" s="52">
        <v>22.707519999999999</v>
      </c>
      <c r="E35" s="52">
        <v>20.345739999999999</v>
      </c>
      <c r="F35" s="52">
        <v>24.732489999999999</v>
      </c>
      <c r="I35" s="51">
        <v>46</v>
      </c>
      <c r="J35" s="52">
        <v>1.87999999523163</v>
      </c>
      <c r="K35" s="52">
        <v>2.4200000762939502</v>
      </c>
      <c r="L35" s="52">
        <v>1.8400000333786</v>
      </c>
      <c r="M35" s="52">
        <v>2.2200000286102299</v>
      </c>
    </row>
    <row r="36" spans="2:13" x14ac:dyDescent="0.15">
      <c r="B36" s="51">
        <v>47</v>
      </c>
      <c r="C36" s="52">
        <v>18.41658</v>
      </c>
      <c r="D36" s="52">
        <v>23.749759999999998</v>
      </c>
      <c r="E36" s="52">
        <v>21.259150000000002</v>
      </c>
      <c r="F36" s="52">
        <v>25.955680000000001</v>
      </c>
      <c r="I36" s="51">
        <v>47</v>
      </c>
      <c r="J36" s="52">
        <v>2.0299999713897701</v>
      </c>
      <c r="K36" s="52">
        <v>2.6199998855590798</v>
      </c>
      <c r="L36" s="52">
        <v>2.0099999904632599</v>
      </c>
      <c r="M36" s="52">
        <v>2.4500000476837198</v>
      </c>
    </row>
    <row r="37" spans="2:13" x14ac:dyDescent="0.15">
      <c r="B37" s="51">
        <v>48</v>
      </c>
      <c r="C37" s="52">
        <v>19.25656</v>
      </c>
      <c r="D37" s="52">
        <v>24.849060000000001</v>
      </c>
      <c r="E37" s="52">
        <v>22.225429999999999</v>
      </c>
      <c r="F37" s="52">
        <v>27.255109999999998</v>
      </c>
      <c r="I37" s="51">
        <v>48</v>
      </c>
      <c r="J37" s="52">
        <v>2.1900000572204599</v>
      </c>
      <c r="K37" s="52">
        <v>2.8199999332428001</v>
      </c>
      <c r="L37" s="52">
        <v>2.2000000476837198</v>
      </c>
      <c r="M37" s="52">
        <v>2.6900000572204599</v>
      </c>
    </row>
    <row r="38" spans="2:13" x14ac:dyDescent="0.15">
      <c r="B38" s="51">
        <v>49</v>
      </c>
      <c r="C38" s="52">
        <v>20.142869999999998</v>
      </c>
      <c r="D38" s="52">
        <v>26.00902</v>
      </c>
      <c r="E38" s="52">
        <v>23.248090000000001</v>
      </c>
      <c r="F38" s="52">
        <v>28.63627</v>
      </c>
      <c r="I38" s="51">
        <v>49</v>
      </c>
      <c r="J38" s="52">
        <v>2.3599998950958301</v>
      </c>
      <c r="K38" s="52">
        <v>3.0299999713897701</v>
      </c>
      <c r="L38" s="52">
        <v>2.4000000953674299</v>
      </c>
      <c r="M38" s="52">
        <v>2.9500000476837198</v>
      </c>
    </row>
    <row r="39" spans="2:13" x14ac:dyDescent="0.15">
      <c r="B39" s="51">
        <v>50</v>
      </c>
      <c r="C39" s="52">
        <v>21.095099999999999</v>
      </c>
      <c r="D39" s="52">
        <v>27.244879999999998</v>
      </c>
      <c r="E39" s="52">
        <v>24.340800000000002</v>
      </c>
      <c r="F39" s="52">
        <v>30.119969999999999</v>
      </c>
      <c r="I39" s="51">
        <v>50</v>
      </c>
      <c r="J39" s="52">
        <v>2.53999996185303</v>
      </c>
      <c r="K39" s="52">
        <v>3.2799999713897701</v>
      </c>
      <c r="L39" s="52">
        <v>2.6199998855590798</v>
      </c>
      <c r="M39" s="52">
        <v>3.2300000190734899</v>
      </c>
    </row>
    <row r="40" spans="2:13" x14ac:dyDescent="0.15">
      <c r="B40" s="51">
        <v>51</v>
      </c>
      <c r="C40" s="52">
        <v>22.08981</v>
      </c>
      <c r="D40" s="52">
        <v>28.547689999999999</v>
      </c>
      <c r="E40" s="52">
        <v>25.491099999999999</v>
      </c>
      <c r="F40" s="52">
        <v>31.688780000000001</v>
      </c>
      <c r="I40" s="51">
        <v>51</v>
      </c>
      <c r="J40" s="52">
        <v>2.7400000095367401</v>
      </c>
      <c r="K40" s="52">
        <v>3.5299999713897701</v>
      </c>
      <c r="L40" s="52">
        <v>2.8499999046325701</v>
      </c>
      <c r="M40" s="52">
        <v>3.53999996185303</v>
      </c>
    </row>
    <row r="41" spans="2:13" x14ac:dyDescent="0.15">
      <c r="B41" s="51">
        <v>52</v>
      </c>
      <c r="C41" s="52">
        <v>23.148820000000001</v>
      </c>
      <c r="D41" s="52">
        <v>29.940519999999999</v>
      </c>
      <c r="E41" s="52">
        <v>26.716750000000001</v>
      </c>
      <c r="F41" s="52">
        <v>33.369689999999999</v>
      </c>
      <c r="I41" s="51">
        <v>52</v>
      </c>
      <c r="J41" s="52">
        <v>2.96000003814697</v>
      </c>
      <c r="K41" s="52">
        <v>3.8199999332428001</v>
      </c>
      <c r="L41" s="52">
        <v>3.1099998950958301</v>
      </c>
      <c r="M41" s="52">
        <v>3.8800001144409202</v>
      </c>
    </row>
    <row r="42" spans="2:13" x14ac:dyDescent="0.15">
      <c r="B42" s="51">
        <v>53</v>
      </c>
      <c r="C42" s="52">
        <v>24.282039999999999</v>
      </c>
      <c r="D42" s="52">
        <v>31.436990000000002</v>
      </c>
      <c r="E42" s="52">
        <v>28.028179999999999</v>
      </c>
      <c r="F42" s="52">
        <v>35.179969999999997</v>
      </c>
      <c r="I42" s="51">
        <v>53</v>
      </c>
      <c r="J42" s="52">
        <v>3.1900000572204599</v>
      </c>
      <c r="K42" s="52">
        <v>4.1300001144409197</v>
      </c>
      <c r="L42" s="52">
        <v>3.3800001144409202</v>
      </c>
      <c r="M42" s="52">
        <v>4.2300000190734899</v>
      </c>
    </row>
    <row r="43" spans="2:13" x14ac:dyDescent="0.15">
      <c r="B43" s="51">
        <v>54</v>
      </c>
      <c r="C43" s="52">
        <v>25.50225</v>
      </c>
      <c r="D43" s="52">
        <v>33.058880000000002</v>
      </c>
      <c r="E43" s="52">
        <v>29.43712</v>
      </c>
      <c r="F43" s="52">
        <v>37.139960000000002</v>
      </c>
      <c r="I43" s="51">
        <v>54</v>
      </c>
      <c r="J43" s="52">
        <v>3.4400000572204599</v>
      </c>
      <c r="K43" s="52">
        <v>4.46000003814697</v>
      </c>
      <c r="L43" s="52">
        <v>3.6600000858306898</v>
      </c>
      <c r="M43" s="52">
        <v>4.6100001335143999</v>
      </c>
    </row>
    <row r="44" spans="2:13" x14ac:dyDescent="0.15">
      <c r="B44" s="51">
        <v>55</v>
      </c>
      <c r="C44" s="52">
        <v>26.837510000000002</v>
      </c>
      <c r="D44" s="52">
        <v>34.839329999999997</v>
      </c>
      <c r="E44" s="52">
        <v>30.963460000000001</v>
      </c>
      <c r="F44" s="52">
        <v>39.276339999999998</v>
      </c>
      <c r="I44" s="51">
        <v>55</v>
      </c>
      <c r="J44" s="52">
        <v>3.7200000286102299</v>
      </c>
      <c r="K44" s="52">
        <v>4.8200001716613796</v>
      </c>
      <c r="L44" s="52">
        <v>3.96000003814697</v>
      </c>
      <c r="M44" s="52">
        <v>5.0199999809265101</v>
      </c>
    </row>
    <row r="45" spans="2:13" x14ac:dyDescent="0.15">
      <c r="B45" s="51">
        <v>56</v>
      </c>
      <c r="C45" s="52">
        <v>28.266249999999999</v>
      </c>
      <c r="D45" s="52">
        <v>36.763809999999999</v>
      </c>
      <c r="E45" s="52">
        <v>32.592269999999999</v>
      </c>
      <c r="F45" s="52">
        <v>41.572040000000001</v>
      </c>
      <c r="I45" s="51">
        <v>56</v>
      </c>
      <c r="J45" s="52">
        <v>4.0100002288818404</v>
      </c>
      <c r="K45" s="52">
        <v>5.21000003814697</v>
      </c>
      <c r="L45" s="52">
        <v>4.2699999809265101</v>
      </c>
      <c r="M45" s="52">
        <v>5.4499998092651403</v>
      </c>
    </row>
    <row r="46" spans="2:13" x14ac:dyDescent="0.15">
      <c r="B46" s="51">
        <v>57</v>
      </c>
      <c r="C46" s="52">
        <v>29.806629999999998</v>
      </c>
      <c r="D46" s="52">
        <v>38.853999999999999</v>
      </c>
      <c r="E46" s="52">
        <v>34.335479999999997</v>
      </c>
      <c r="F46" s="52">
        <v>44.036499999999997</v>
      </c>
      <c r="I46" s="51">
        <v>57</v>
      </c>
      <c r="J46" s="52">
        <v>4.3400001525878897</v>
      </c>
      <c r="K46" s="52">
        <v>5.6500000953674299</v>
      </c>
      <c r="L46" s="52">
        <v>4.6100001335143999</v>
      </c>
      <c r="M46" s="52">
        <v>5.9200000762939498</v>
      </c>
    </row>
    <row r="47" spans="2:13" x14ac:dyDescent="0.15">
      <c r="B47" s="51">
        <v>58</v>
      </c>
      <c r="C47" s="52">
        <v>31.460460000000001</v>
      </c>
      <c r="D47" s="52">
        <v>41.108629999999998</v>
      </c>
      <c r="E47" s="52">
        <v>36.192300000000003</v>
      </c>
      <c r="F47" s="52">
        <v>46.656370000000003</v>
      </c>
      <c r="I47" s="51">
        <v>58</v>
      </c>
      <c r="J47" s="52">
        <v>4.6900000572204599</v>
      </c>
      <c r="K47" s="52">
        <v>6.1199998855590803</v>
      </c>
      <c r="L47" s="52">
        <v>4.96000003814697</v>
      </c>
      <c r="M47" s="52">
        <v>6.4000000953674299</v>
      </c>
    </row>
    <row r="48" spans="2:13" x14ac:dyDescent="0.15">
      <c r="B48" s="51">
        <v>59</v>
      </c>
      <c r="C48" s="52">
        <v>33.227449999999997</v>
      </c>
      <c r="D48" s="52">
        <v>43.518030000000003</v>
      </c>
      <c r="E48" s="52">
        <v>38.159619999999997</v>
      </c>
      <c r="F48" s="52">
        <v>49.408749999999998</v>
      </c>
      <c r="I48" s="51">
        <v>59</v>
      </c>
      <c r="J48" s="52">
        <v>5.0900001525878897</v>
      </c>
      <c r="K48" s="52">
        <v>6.6599998474121103</v>
      </c>
      <c r="L48" s="52">
        <v>5.3499999046325701</v>
      </c>
      <c r="M48" s="52">
        <v>6.9400000572204599</v>
      </c>
    </row>
    <row r="49" spans="2:13" x14ac:dyDescent="0.15">
      <c r="B49" s="51">
        <v>60</v>
      </c>
      <c r="C49" s="52">
        <v>35.11683</v>
      </c>
      <c r="D49" s="52">
        <v>46.08567</v>
      </c>
      <c r="E49" s="52">
        <v>40.237810000000003</v>
      </c>
      <c r="F49" s="52">
        <v>52.25591</v>
      </c>
      <c r="I49" s="51">
        <v>60</v>
      </c>
      <c r="J49" s="52">
        <v>5.5199999809265101</v>
      </c>
      <c r="K49" s="52">
        <v>7.25</v>
      </c>
      <c r="L49" s="52">
        <v>5.7600002288818404</v>
      </c>
      <c r="M49" s="52">
        <v>7.5</v>
      </c>
    </row>
    <row r="50" spans="2:13" x14ac:dyDescent="0.15">
      <c r="B50" s="51">
        <v>61</v>
      </c>
      <c r="C50" s="52">
        <v>37.134160000000001</v>
      </c>
      <c r="D50" s="52">
        <v>48.834130000000002</v>
      </c>
      <c r="E50" s="52">
        <v>42.456679999999999</v>
      </c>
      <c r="F50" s="52">
        <v>55.270029999999998</v>
      </c>
      <c r="I50" s="51">
        <v>61</v>
      </c>
      <c r="J50" s="52">
        <v>6.0100002288818404</v>
      </c>
      <c r="K50" s="52">
        <v>7.9200000762939498</v>
      </c>
      <c r="L50" s="52">
        <v>6.21000003814697</v>
      </c>
      <c r="M50" s="52">
        <v>8.1099996566772496</v>
      </c>
    </row>
    <row r="51" spans="2:13" x14ac:dyDescent="0.15">
      <c r="B51" s="51">
        <v>62</v>
      </c>
      <c r="C51" s="52">
        <v>39.310760000000002</v>
      </c>
      <c r="D51" s="52">
        <v>51.810760000000002</v>
      </c>
      <c r="E51" s="52">
        <v>44.84937</v>
      </c>
      <c r="F51" s="52">
        <v>58.48621</v>
      </c>
      <c r="I51" s="51">
        <v>62</v>
      </c>
      <c r="J51" s="52">
        <v>6.5300002098083496</v>
      </c>
      <c r="K51" s="52">
        <v>8.6400003433227504</v>
      </c>
      <c r="L51" s="52">
        <v>6.6700000762939498</v>
      </c>
      <c r="M51" s="52">
        <v>8.7399997711181605</v>
      </c>
    </row>
    <row r="52" spans="2:13" x14ac:dyDescent="0.15">
      <c r="B52" s="51">
        <v>63</v>
      </c>
      <c r="C52" s="52">
        <v>41.687130000000003</v>
      </c>
      <c r="D52" s="52">
        <v>55.103909999999999</v>
      </c>
      <c r="E52" s="52">
        <v>47.473979999999997</v>
      </c>
      <c r="F52" s="52">
        <v>62.014629999999997</v>
      </c>
      <c r="I52" s="51">
        <v>63</v>
      </c>
      <c r="J52" s="52">
        <v>7.0900001525878897</v>
      </c>
      <c r="K52" s="52">
        <v>9.4300003051757795</v>
      </c>
      <c r="L52" s="52">
        <v>7.1500000953674299</v>
      </c>
      <c r="M52" s="52">
        <v>9.3999996185302699</v>
      </c>
    </row>
    <row r="53" spans="2:13" x14ac:dyDescent="0.15">
      <c r="B53" s="51">
        <v>64</v>
      </c>
      <c r="C53" s="52">
        <v>44.319400000000002</v>
      </c>
      <c r="D53" s="52">
        <v>58.837730000000001</v>
      </c>
      <c r="E53" s="52">
        <v>50.406289999999998</v>
      </c>
      <c r="F53" s="52">
        <v>66.012230000000002</v>
      </c>
      <c r="I53" s="51">
        <v>64</v>
      </c>
      <c r="J53" s="52">
        <v>7.6900000572204599</v>
      </c>
      <c r="K53" s="52">
        <v>10.2600002288818</v>
      </c>
      <c r="L53" s="52">
        <v>7.6500000953674299</v>
      </c>
      <c r="M53" s="52">
        <v>10.069999694824199</v>
      </c>
    </row>
    <row r="54" spans="2:13" x14ac:dyDescent="0.15">
      <c r="B54" s="51">
        <v>65</v>
      </c>
      <c r="C54" s="52">
        <v>47.281730000000003</v>
      </c>
      <c r="D54" s="52">
        <v>63.23122</v>
      </c>
      <c r="E54" s="52">
        <v>53.733989999999999</v>
      </c>
      <c r="F54" s="52">
        <v>70.617679999999993</v>
      </c>
      <c r="I54" s="54">
        <v>65</v>
      </c>
      <c r="J54" s="55">
        <v>8.3000001907348597</v>
      </c>
      <c r="K54" s="55">
        <v>11.1300001144409</v>
      </c>
      <c r="L54" s="55">
        <v>8.1499996185302699</v>
      </c>
      <c r="M54" s="55">
        <v>10.75</v>
      </c>
    </row>
    <row r="55" spans="2:13" x14ac:dyDescent="0.15">
      <c r="B55" s="51">
        <v>66</v>
      </c>
      <c r="C55" s="52">
        <v>50.561160000000001</v>
      </c>
      <c r="D55" s="52">
        <v>68.247619999999998</v>
      </c>
      <c r="E55" s="52">
        <v>57.474640000000001</v>
      </c>
      <c r="F55" s="52">
        <v>75.932910000000007</v>
      </c>
      <c r="I55" s="7"/>
      <c r="J55" s="56"/>
      <c r="K55" s="56"/>
      <c r="L55" s="56"/>
      <c r="M55" s="56"/>
    </row>
    <row r="56" spans="2:13" x14ac:dyDescent="0.15">
      <c r="B56" s="51">
        <v>67</v>
      </c>
      <c r="C56" s="52">
        <v>54.200980000000001</v>
      </c>
      <c r="D56" s="52">
        <v>73.941959999999995</v>
      </c>
      <c r="E56" s="52">
        <v>61.674050000000001</v>
      </c>
      <c r="F56" s="52">
        <v>81.996350000000007</v>
      </c>
      <c r="I56" s="7"/>
      <c r="J56" s="56"/>
      <c r="K56" s="56"/>
      <c r="L56" s="56"/>
      <c r="M56" s="56"/>
    </row>
    <row r="57" spans="2:13" x14ac:dyDescent="0.15">
      <c r="B57" s="51">
        <v>68</v>
      </c>
      <c r="C57" s="52">
        <v>58.19462</v>
      </c>
      <c r="D57" s="52">
        <v>80.239320000000006</v>
      </c>
      <c r="E57" s="52">
        <v>66.326599999999999</v>
      </c>
      <c r="F57" s="52">
        <v>88.764160000000004</v>
      </c>
      <c r="I57" s="7"/>
      <c r="J57" s="56"/>
      <c r="K57" s="56"/>
      <c r="L57" s="56"/>
      <c r="M57" s="56"/>
    </row>
    <row r="58" spans="2:13" x14ac:dyDescent="0.15">
      <c r="B58" s="51">
        <v>69</v>
      </c>
      <c r="C58" s="52">
        <v>62.516199999999998</v>
      </c>
      <c r="D58" s="52">
        <v>86.995469999999997</v>
      </c>
      <c r="E58" s="52">
        <v>71.53416</v>
      </c>
      <c r="F58" s="52">
        <v>96.23997</v>
      </c>
      <c r="I58" s="7"/>
      <c r="J58" s="56"/>
      <c r="K58" s="56"/>
      <c r="L58" s="56"/>
      <c r="M58" s="56"/>
    </row>
    <row r="59" spans="2:13" x14ac:dyDescent="0.15">
      <c r="B59" s="54">
        <v>70</v>
      </c>
      <c r="C59" s="55">
        <v>67.141149999999996</v>
      </c>
      <c r="D59" s="55">
        <v>94.076830000000001</v>
      </c>
      <c r="E59" s="55">
        <v>77.136409999999998</v>
      </c>
      <c r="F59" s="55">
        <v>104.1365</v>
      </c>
      <c r="I59" s="7"/>
      <c r="J59" s="56"/>
      <c r="K59" s="56"/>
      <c r="L59" s="56"/>
      <c r="M59" s="56"/>
    </row>
  </sheetData>
  <mergeCells count="8">
    <mergeCell ref="B4:F4"/>
    <mergeCell ref="I4:M4"/>
    <mergeCell ref="L5:M5"/>
    <mergeCell ref="C5:D5"/>
    <mergeCell ref="E5:F5"/>
    <mergeCell ref="B5:B6"/>
    <mergeCell ref="I5:I6"/>
    <mergeCell ref="J5:K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F8F5-E9A0-443C-A5F8-4AC47EE0BB02}">
  <dimension ref="B3:R93"/>
  <sheetViews>
    <sheetView zoomScale="70" zoomScaleNormal="70" workbookViewId="0">
      <selection activeCell="O21" sqref="O21"/>
    </sheetView>
  </sheetViews>
  <sheetFormatPr baseColWidth="10" defaultColWidth="8.83203125" defaultRowHeight="13" x14ac:dyDescent="0.15"/>
  <cols>
    <col min="1" max="1" width="8.83203125" style="15" collapsed="1"/>
    <col min="2" max="2" width="8.83203125" style="29" collapsed="1"/>
    <col min="3" max="11" width="13.83203125" style="29" customWidth="1" collapsed="1"/>
    <col min="12" max="13" width="8.83203125" style="15" collapsed="1"/>
    <col min="14" max="14" width="26.1640625" style="15" customWidth="1" collapsed="1"/>
    <col min="15" max="15" width="29.1640625" style="15" customWidth="1" collapsed="1"/>
    <col min="16" max="16" width="24.83203125" style="15" customWidth="1" collapsed="1"/>
    <col min="17" max="16384" width="8.83203125" style="15" collapsed="1"/>
  </cols>
  <sheetData>
    <row r="3" spans="2:18" ht="26" customHeight="1" x14ac:dyDescent="0.15">
      <c r="B3" s="136" t="s">
        <v>2066</v>
      </c>
      <c r="C3" s="136"/>
      <c r="D3" s="136"/>
      <c r="E3" s="136"/>
      <c r="F3" s="136"/>
      <c r="G3" s="27"/>
      <c r="H3" s="136" t="s">
        <v>2067</v>
      </c>
      <c r="I3" s="136"/>
      <c r="J3" s="136"/>
      <c r="K3" s="136"/>
      <c r="L3" s="136"/>
      <c r="N3" s="136" t="s">
        <v>2068</v>
      </c>
      <c r="O3" s="136"/>
    </row>
    <row r="4" spans="2:18" x14ac:dyDescent="0.15">
      <c r="B4" s="134" t="s">
        <v>0</v>
      </c>
      <c r="C4" s="140" t="s">
        <v>45</v>
      </c>
      <c r="D4" s="140"/>
      <c r="E4" s="140" t="s">
        <v>46</v>
      </c>
      <c r="F4" s="140"/>
      <c r="H4" s="134" t="s">
        <v>0</v>
      </c>
      <c r="I4" s="140" t="s">
        <v>45</v>
      </c>
      <c r="J4" s="140"/>
      <c r="K4" s="140" t="s">
        <v>46</v>
      </c>
      <c r="L4" s="140"/>
      <c r="N4" s="30" t="s">
        <v>2024</v>
      </c>
      <c r="O4" s="28" t="s">
        <v>2023</v>
      </c>
    </row>
    <row r="5" spans="2:18" ht="14" x14ac:dyDescent="0.15">
      <c r="B5" s="135"/>
      <c r="C5" s="28" t="s">
        <v>42</v>
      </c>
      <c r="D5" s="28" t="s">
        <v>41</v>
      </c>
      <c r="E5" s="28" t="s">
        <v>42</v>
      </c>
      <c r="F5" s="28" t="s">
        <v>41</v>
      </c>
      <c r="H5" s="135"/>
      <c r="I5" s="31" t="s">
        <v>42</v>
      </c>
      <c r="J5" s="31" t="s">
        <v>41</v>
      </c>
      <c r="K5" s="31" t="s">
        <v>42</v>
      </c>
      <c r="L5" s="31" t="s">
        <v>41</v>
      </c>
      <c r="N5" s="32" t="s">
        <v>45</v>
      </c>
      <c r="O5" s="33">
        <v>0.56230065519990868</v>
      </c>
    </row>
    <row r="6" spans="2:18" ht="25" customHeight="1" x14ac:dyDescent="0.15">
      <c r="B6" s="34">
        <v>18</v>
      </c>
      <c r="C6" s="137" t="s">
        <v>2026</v>
      </c>
      <c r="D6" s="137"/>
      <c r="E6" s="137"/>
      <c r="F6" s="137"/>
      <c r="G6" s="35"/>
      <c r="H6" s="34">
        <v>18</v>
      </c>
      <c r="I6" s="36">
        <v>0.59104510581811887</v>
      </c>
      <c r="J6" s="37">
        <v>0.39111143594358061</v>
      </c>
      <c r="K6" s="37">
        <v>0.40895489418188113</v>
      </c>
      <c r="L6" s="37">
        <v>0.60888856405641945</v>
      </c>
      <c r="N6" s="38" t="s">
        <v>2022</v>
      </c>
      <c r="O6" s="39">
        <v>0.43769934480009132</v>
      </c>
    </row>
    <row r="7" spans="2:18" ht="14" x14ac:dyDescent="0.15">
      <c r="B7" s="34">
        <v>19</v>
      </c>
      <c r="C7" s="138"/>
      <c r="D7" s="138"/>
      <c r="E7" s="138"/>
      <c r="F7" s="138"/>
      <c r="G7" s="35"/>
      <c r="H7" s="34">
        <v>19</v>
      </c>
      <c r="I7" s="40">
        <v>0.59104510581811887</v>
      </c>
      <c r="J7" s="40">
        <v>0.39111143594358061</v>
      </c>
      <c r="K7" s="40">
        <v>0.40895489418188113</v>
      </c>
      <c r="L7" s="40">
        <v>0.60888856405641945</v>
      </c>
    </row>
    <row r="8" spans="2:18" ht="14" x14ac:dyDescent="0.15">
      <c r="B8" s="34">
        <v>20</v>
      </c>
      <c r="C8" s="138"/>
      <c r="D8" s="138"/>
      <c r="E8" s="138"/>
      <c r="F8" s="138"/>
      <c r="G8" s="35"/>
      <c r="H8" s="34">
        <v>20</v>
      </c>
      <c r="I8" s="40">
        <v>0.59104510581811887</v>
      </c>
      <c r="J8" s="40">
        <v>0.39111143594358061</v>
      </c>
      <c r="K8" s="40">
        <v>0.40895489418188113</v>
      </c>
      <c r="L8" s="40">
        <v>0.60888856405641945</v>
      </c>
    </row>
    <row r="9" spans="2:18" ht="27" customHeight="1" x14ac:dyDescent="0.15">
      <c r="B9" s="34">
        <v>21</v>
      </c>
      <c r="C9" s="138"/>
      <c r="D9" s="138"/>
      <c r="E9" s="138"/>
      <c r="F9" s="138"/>
      <c r="G9" s="35"/>
      <c r="H9" s="34">
        <v>21</v>
      </c>
      <c r="I9" s="40">
        <v>0.59104510581811887</v>
      </c>
      <c r="J9" s="40">
        <v>0.39111143594358061</v>
      </c>
      <c r="K9" s="40">
        <v>0.40895489418188113</v>
      </c>
      <c r="L9" s="40">
        <v>0.60888856405641945</v>
      </c>
      <c r="N9" s="136" t="s">
        <v>2069</v>
      </c>
      <c r="O9" s="136"/>
      <c r="P9" s="136"/>
    </row>
    <row r="10" spans="2:18" ht="14" x14ac:dyDescent="0.15">
      <c r="B10" s="34">
        <v>22</v>
      </c>
      <c r="C10" s="138"/>
      <c r="D10" s="138"/>
      <c r="E10" s="138"/>
      <c r="F10" s="138"/>
      <c r="G10" s="35"/>
      <c r="H10" s="34">
        <v>22</v>
      </c>
      <c r="I10" s="40">
        <v>0.59104510581811887</v>
      </c>
      <c r="J10" s="40">
        <v>0.39111143594358061</v>
      </c>
      <c r="K10" s="40">
        <v>0.40895489418188113</v>
      </c>
      <c r="L10" s="40">
        <v>0.60888856405641945</v>
      </c>
      <c r="N10" s="30" t="s">
        <v>2025</v>
      </c>
      <c r="O10" s="28" t="s">
        <v>2022</v>
      </c>
      <c r="P10" s="28" t="s">
        <v>45</v>
      </c>
    </row>
    <row r="11" spans="2:18" ht="14" x14ac:dyDescent="0.15">
      <c r="B11" s="34">
        <v>23</v>
      </c>
      <c r="C11" s="138"/>
      <c r="D11" s="138"/>
      <c r="E11" s="138"/>
      <c r="F11" s="138"/>
      <c r="G11" s="35"/>
      <c r="H11" s="34">
        <v>23</v>
      </c>
      <c r="I11" s="40">
        <v>0.59104510581811887</v>
      </c>
      <c r="J11" s="40">
        <v>0.39111143594358061</v>
      </c>
      <c r="K11" s="40">
        <v>0.40895489418188113</v>
      </c>
      <c r="L11" s="40">
        <v>0.60888856405641945</v>
      </c>
      <c r="N11" s="41" t="s">
        <v>41</v>
      </c>
      <c r="O11" s="42">
        <f>1-O12</f>
        <v>0.19999999999999996</v>
      </c>
      <c r="P11" s="43">
        <f>1-P12</f>
        <v>9.9999999999999978E-2</v>
      </c>
    </row>
    <row r="12" spans="2:18" ht="14" x14ac:dyDescent="0.15">
      <c r="B12" s="34">
        <v>24</v>
      </c>
      <c r="C12" s="138"/>
      <c r="D12" s="138"/>
      <c r="E12" s="138"/>
      <c r="F12" s="138"/>
      <c r="G12" s="35"/>
      <c r="H12" s="34">
        <v>24</v>
      </c>
      <c r="I12" s="40">
        <v>0.59104510581811887</v>
      </c>
      <c r="J12" s="40">
        <v>0.39111143594358061</v>
      </c>
      <c r="K12" s="40">
        <v>0.40895489418188113</v>
      </c>
      <c r="L12" s="40">
        <v>0.60888856405641945</v>
      </c>
      <c r="N12" s="44" t="s">
        <v>42</v>
      </c>
      <c r="O12" s="45">
        <v>0.8</v>
      </c>
      <c r="P12" s="46">
        <v>0.9</v>
      </c>
    </row>
    <row r="13" spans="2:18" ht="14" x14ac:dyDescent="0.15">
      <c r="B13" s="34">
        <v>25</v>
      </c>
      <c r="C13" s="138"/>
      <c r="D13" s="138"/>
      <c r="E13" s="138"/>
      <c r="F13" s="138"/>
      <c r="G13" s="35"/>
      <c r="H13" s="34">
        <v>25</v>
      </c>
      <c r="I13" s="40">
        <v>0.59104510581811887</v>
      </c>
      <c r="J13" s="40">
        <v>0.39111143594358061</v>
      </c>
      <c r="K13" s="40">
        <v>0.40895489418188113</v>
      </c>
      <c r="L13" s="40">
        <v>0.60888856405641945</v>
      </c>
    </row>
    <row r="14" spans="2:18" ht="14" x14ac:dyDescent="0.15">
      <c r="B14" s="34">
        <v>26</v>
      </c>
      <c r="C14" s="138"/>
      <c r="D14" s="138"/>
      <c r="E14" s="138"/>
      <c r="F14" s="138"/>
      <c r="G14" s="35"/>
      <c r="H14" s="34">
        <v>26</v>
      </c>
      <c r="I14" s="40">
        <v>0.59104510581811887</v>
      </c>
      <c r="J14" s="40">
        <v>0.39111143594358061</v>
      </c>
      <c r="K14" s="40">
        <v>0.40895489418188113</v>
      </c>
      <c r="L14" s="40">
        <v>0.60888856405641945</v>
      </c>
    </row>
    <row r="15" spans="2:18" ht="13" customHeight="1" x14ac:dyDescent="0.15">
      <c r="B15" s="34">
        <v>27</v>
      </c>
      <c r="C15" s="138"/>
      <c r="D15" s="138"/>
      <c r="E15" s="138"/>
      <c r="F15" s="138"/>
      <c r="G15" s="35"/>
      <c r="H15" s="34">
        <v>27</v>
      </c>
      <c r="I15" s="40">
        <v>0.59104510581811887</v>
      </c>
      <c r="J15" s="40">
        <v>0.39111143594358061</v>
      </c>
      <c r="K15" s="40">
        <v>0.40895489418188113</v>
      </c>
      <c r="L15" s="40">
        <v>0.60888856405641945</v>
      </c>
      <c r="Q15" s="47"/>
      <c r="R15" s="47"/>
    </row>
    <row r="16" spans="2:18" ht="14" x14ac:dyDescent="0.15">
      <c r="B16" s="34">
        <v>28</v>
      </c>
      <c r="C16" s="138"/>
      <c r="D16" s="138"/>
      <c r="E16" s="138"/>
      <c r="F16" s="138"/>
      <c r="G16" s="35"/>
      <c r="H16" s="34">
        <v>28</v>
      </c>
      <c r="I16" s="40">
        <v>0.59104510581811887</v>
      </c>
      <c r="J16" s="40">
        <v>0.39111143594358061</v>
      </c>
      <c r="K16" s="40">
        <v>0.40895489418188113</v>
      </c>
      <c r="L16" s="40">
        <v>0.60888856405641945</v>
      </c>
    </row>
    <row r="17" spans="2:12" ht="14" x14ac:dyDescent="0.15">
      <c r="B17" s="34">
        <v>29</v>
      </c>
      <c r="C17" s="138"/>
      <c r="D17" s="138"/>
      <c r="E17" s="138"/>
      <c r="F17" s="138"/>
      <c r="G17" s="35"/>
      <c r="H17" s="34">
        <v>29</v>
      </c>
      <c r="I17" s="40">
        <v>0.59104510581811887</v>
      </c>
      <c r="J17" s="40">
        <v>0.39111143594358061</v>
      </c>
      <c r="K17" s="40">
        <v>0.40895489418188113</v>
      </c>
      <c r="L17" s="40">
        <v>0.60888856405641945</v>
      </c>
    </row>
    <row r="18" spans="2:12" ht="14" x14ac:dyDescent="0.15">
      <c r="B18" s="34">
        <v>30</v>
      </c>
      <c r="C18" s="138"/>
      <c r="D18" s="138"/>
      <c r="E18" s="138"/>
      <c r="F18" s="138"/>
      <c r="G18" s="35"/>
      <c r="H18" s="34">
        <v>30</v>
      </c>
      <c r="I18" s="40">
        <v>0.59104510581811887</v>
      </c>
      <c r="J18" s="40">
        <v>0.39111143594358061</v>
      </c>
      <c r="K18" s="40">
        <v>0.40895489418188113</v>
      </c>
      <c r="L18" s="40">
        <v>0.60888856405641945</v>
      </c>
    </row>
    <row r="19" spans="2:12" ht="14" x14ac:dyDescent="0.15">
      <c r="B19" s="34">
        <v>31</v>
      </c>
      <c r="C19" s="138"/>
      <c r="D19" s="138"/>
      <c r="E19" s="138"/>
      <c r="F19" s="138"/>
      <c r="G19" s="35"/>
      <c r="H19" s="34">
        <v>31</v>
      </c>
      <c r="I19" s="40">
        <v>0.59104510581811887</v>
      </c>
      <c r="J19" s="40">
        <v>0.39111143594358061</v>
      </c>
      <c r="K19" s="40">
        <v>0.40895489418188113</v>
      </c>
      <c r="L19" s="40">
        <v>0.60888856405641945</v>
      </c>
    </row>
    <row r="20" spans="2:12" ht="14" x14ac:dyDescent="0.15">
      <c r="B20" s="34">
        <v>32</v>
      </c>
      <c r="C20" s="138"/>
      <c r="D20" s="138"/>
      <c r="E20" s="138"/>
      <c r="F20" s="138"/>
      <c r="G20" s="35"/>
      <c r="H20" s="34">
        <v>32</v>
      </c>
      <c r="I20" s="40">
        <v>0.59104510581811887</v>
      </c>
      <c r="J20" s="40">
        <v>0.39111143594358061</v>
      </c>
      <c r="K20" s="40">
        <v>0.40895489418188113</v>
      </c>
      <c r="L20" s="40">
        <v>0.60888856405641945</v>
      </c>
    </row>
    <row r="21" spans="2:12" ht="14" x14ac:dyDescent="0.15">
      <c r="B21" s="34">
        <v>33</v>
      </c>
      <c r="C21" s="138"/>
      <c r="D21" s="138"/>
      <c r="E21" s="138"/>
      <c r="F21" s="138"/>
      <c r="G21" s="35"/>
      <c r="H21" s="34">
        <v>33</v>
      </c>
      <c r="I21" s="40">
        <v>0.59104510581811887</v>
      </c>
      <c r="J21" s="40">
        <v>0.39111143594358061</v>
      </c>
      <c r="K21" s="40">
        <v>0.40895489418188113</v>
      </c>
      <c r="L21" s="40">
        <v>0.60888856405641945</v>
      </c>
    </row>
    <row r="22" spans="2:12" ht="14" x14ac:dyDescent="0.15">
      <c r="B22" s="34">
        <v>34</v>
      </c>
      <c r="C22" s="138"/>
      <c r="D22" s="138"/>
      <c r="E22" s="138"/>
      <c r="F22" s="138"/>
      <c r="G22" s="35"/>
      <c r="H22" s="34">
        <v>34</v>
      </c>
      <c r="I22" s="40">
        <v>0.59104510581811887</v>
      </c>
      <c r="J22" s="40">
        <v>0.39111143594358061</v>
      </c>
      <c r="K22" s="40">
        <v>0.40895489418188113</v>
      </c>
      <c r="L22" s="40">
        <v>0.60888856405641945</v>
      </c>
    </row>
    <row r="23" spans="2:12" ht="14" x14ac:dyDescent="0.15">
      <c r="B23" s="34">
        <v>35</v>
      </c>
      <c r="C23" s="138"/>
      <c r="D23" s="138"/>
      <c r="E23" s="138"/>
      <c r="F23" s="138"/>
      <c r="G23" s="35"/>
      <c r="H23" s="34">
        <v>35</v>
      </c>
      <c r="I23" s="40">
        <v>0.59104510581811887</v>
      </c>
      <c r="J23" s="40">
        <v>0.39111143594358061</v>
      </c>
      <c r="K23" s="40">
        <v>0.40895489418188113</v>
      </c>
      <c r="L23" s="40">
        <v>0.60888856405641945</v>
      </c>
    </row>
    <row r="24" spans="2:12" ht="14" x14ac:dyDescent="0.15">
      <c r="B24" s="34">
        <v>36</v>
      </c>
      <c r="C24" s="138"/>
      <c r="D24" s="138"/>
      <c r="E24" s="138"/>
      <c r="F24" s="138"/>
      <c r="G24" s="35"/>
      <c r="H24" s="34">
        <v>36</v>
      </c>
      <c r="I24" s="40">
        <v>0.59104510581811887</v>
      </c>
      <c r="J24" s="40">
        <v>0.39111143594358061</v>
      </c>
      <c r="K24" s="40">
        <v>0.40895489418188113</v>
      </c>
      <c r="L24" s="40">
        <v>0.60888856405641945</v>
      </c>
    </row>
    <row r="25" spans="2:12" ht="14" x14ac:dyDescent="0.15">
      <c r="B25" s="34">
        <v>37</v>
      </c>
      <c r="C25" s="138"/>
      <c r="D25" s="138"/>
      <c r="E25" s="138"/>
      <c r="F25" s="138"/>
      <c r="G25" s="35"/>
      <c r="H25" s="34">
        <v>37</v>
      </c>
      <c r="I25" s="40">
        <v>0.59104510581811887</v>
      </c>
      <c r="J25" s="40">
        <v>0.39111143594358061</v>
      </c>
      <c r="K25" s="40">
        <v>0.40895489418188113</v>
      </c>
      <c r="L25" s="40">
        <v>0.60888856405641945</v>
      </c>
    </row>
    <row r="26" spans="2:12" ht="14" x14ac:dyDescent="0.15">
      <c r="B26" s="34">
        <v>38</v>
      </c>
      <c r="C26" s="138"/>
      <c r="D26" s="138"/>
      <c r="E26" s="138"/>
      <c r="F26" s="138"/>
      <c r="G26" s="35"/>
      <c r="H26" s="34">
        <v>38</v>
      </c>
      <c r="I26" s="40">
        <v>0.59104510581811887</v>
      </c>
      <c r="J26" s="40">
        <v>0.39111143594358061</v>
      </c>
      <c r="K26" s="40">
        <v>0.40895489418188113</v>
      </c>
      <c r="L26" s="40">
        <v>0.60888856405641945</v>
      </c>
    </row>
    <row r="27" spans="2:12" ht="14" x14ac:dyDescent="0.15">
      <c r="B27" s="34">
        <v>39</v>
      </c>
      <c r="C27" s="138"/>
      <c r="D27" s="138"/>
      <c r="E27" s="138"/>
      <c r="F27" s="138"/>
      <c r="G27" s="35"/>
      <c r="H27" s="34">
        <v>39</v>
      </c>
      <c r="I27" s="40">
        <v>0.59104510581811887</v>
      </c>
      <c r="J27" s="40">
        <v>0.39111143594358061</v>
      </c>
      <c r="K27" s="40">
        <v>0.40895489418188113</v>
      </c>
      <c r="L27" s="40">
        <v>0.60888856405641945</v>
      </c>
    </row>
    <row r="28" spans="2:12" ht="14" x14ac:dyDescent="0.15">
      <c r="B28" s="34">
        <v>40</v>
      </c>
      <c r="C28" s="138"/>
      <c r="D28" s="138"/>
      <c r="E28" s="138"/>
      <c r="F28" s="138"/>
      <c r="G28" s="35"/>
      <c r="H28" s="34">
        <v>40</v>
      </c>
      <c r="I28" s="40">
        <v>0.59104510581811887</v>
      </c>
      <c r="J28" s="40">
        <v>0.39111143594358061</v>
      </c>
      <c r="K28" s="40">
        <v>0.40895489418188113</v>
      </c>
      <c r="L28" s="40">
        <v>0.60888856405641945</v>
      </c>
    </row>
    <row r="29" spans="2:12" ht="14" x14ac:dyDescent="0.15">
      <c r="B29" s="34">
        <v>41</v>
      </c>
      <c r="C29" s="138"/>
      <c r="D29" s="138"/>
      <c r="E29" s="138"/>
      <c r="F29" s="138"/>
      <c r="G29" s="35"/>
      <c r="H29" s="34">
        <v>41</v>
      </c>
      <c r="I29" s="40">
        <v>0.59104510581811887</v>
      </c>
      <c r="J29" s="40">
        <v>0.39111143594358061</v>
      </c>
      <c r="K29" s="40">
        <v>0.40895489418188113</v>
      </c>
      <c r="L29" s="40">
        <v>0.60888856405641945</v>
      </c>
    </row>
    <row r="30" spans="2:12" ht="14" x14ac:dyDescent="0.15">
      <c r="B30" s="34">
        <v>42</v>
      </c>
      <c r="C30" s="138"/>
      <c r="D30" s="138"/>
      <c r="E30" s="138"/>
      <c r="F30" s="138"/>
      <c r="G30" s="35"/>
      <c r="H30" s="34">
        <v>42</v>
      </c>
      <c r="I30" s="40">
        <v>0.59104510581811887</v>
      </c>
      <c r="J30" s="40">
        <v>0.39111143594358061</v>
      </c>
      <c r="K30" s="40">
        <v>0.40895489418188113</v>
      </c>
      <c r="L30" s="40">
        <v>0.60888856405641945</v>
      </c>
    </row>
    <row r="31" spans="2:12" ht="14" x14ac:dyDescent="0.15">
      <c r="B31" s="34">
        <v>43</v>
      </c>
      <c r="C31" s="138"/>
      <c r="D31" s="138"/>
      <c r="E31" s="138"/>
      <c r="F31" s="138"/>
      <c r="G31" s="35"/>
      <c r="H31" s="34">
        <v>43</v>
      </c>
      <c r="I31" s="40">
        <v>0.59104510581811887</v>
      </c>
      <c r="J31" s="40">
        <v>0.39111143594358061</v>
      </c>
      <c r="K31" s="40">
        <v>0.40895489418188113</v>
      </c>
      <c r="L31" s="40">
        <v>0.60888856405641945</v>
      </c>
    </row>
    <row r="32" spans="2:12" ht="14" x14ac:dyDescent="0.15">
      <c r="B32" s="34">
        <v>44</v>
      </c>
      <c r="C32" s="138"/>
      <c r="D32" s="138"/>
      <c r="E32" s="138"/>
      <c r="F32" s="138"/>
      <c r="G32" s="35"/>
      <c r="H32" s="34">
        <v>44</v>
      </c>
      <c r="I32" s="40">
        <v>0.59104510581811887</v>
      </c>
      <c r="J32" s="40">
        <v>0.39111143594358061</v>
      </c>
      <c r="K32" s="40">
        <v>0.40895489418188113</v>
      </c>
      <c r="L32" s="40">
        <v>0.60888856405641945</v>
      </c>
    </row>
    <row r="33" spans="2:12" ht="14" x14ac:dyDescent="0.15">
      <c r="B33" s="34">
        <v>45</v>
      </c>
      <c r="C33" s="138"/>
      <c r="D33" s="138"/>
      <c r="E33" s="138"/>
      <c r="F33" s="138"/>
      <c r="G33" s="35"/>
      <c r="H33" s="34">
        <v>45</v>
      </c>
      <c r="I33" s="40">
        <v>0.59104510581811887</v>
      </c>
      <c r="J33" s="40">
        <v>0.39111143594358061</v>
      </c>
      <c r="K33" s="40">
        <v>0.40895489418188113</v>
      </c>
      <c r="L33" s="40">
        <v>0.60888856405641945</v>
      </c>
    </row>
    <row r="34" spans="2:12" ht="14" x14ac:dyDescent="0.15">
      <c r="B34" s="34">
        <v>46</v>
      </c>
      <c r="C34" s="138"/>
      <c r="D34" s="138"/>
      <c r="E34" s="138"/>
      <c r="F34" s="138"/>
      <c r="G34" s="35"/>
      <c r="H34" s="34">
        <v>46</v>
      </c>
      <c r="I34" s="40">
        <v>0.59104510581811887</v>
      </c>
      <c r="J34" s="40">
        <v>0.39111143594358061</v>
      </c>
      <c r="K34" s="40">
        <v>0.40895489418188113</v>
      </c>
      <c r="L34" s="40">
        <v>0.60888856405641945</v>
      </c>
    </row>
    <row r="35" spans="2:12" ht="14" x14ac:dyDescent="0.15">
      <c r="B35" s="34">
        <v>47</v>
      </c>
      <c r="C35" s="138"/>
      <c r="D35" s="138"/>
      <c r="E35" s="138"/>
      <c r="F35" s="138"/>
      <c r="G35" s="35"/>
      <c r="H35" s="34">
        <v>47</v>
      </c>
      <c r="I35" s="40">
        <v>0.59104510581811887</v>
      </c>
      <c r="J35" s="40">
        <v>0.39111143594358061</v>
      </c>
      <c r="K35" s="40">
        <v>0.40895489418188113</v>
      </c>
      <c r="L35" s="40">
        <v>0.60888856405641945</v>
      </c>
    </row>
    <row r="36" spans="2:12" ht="14" x14ac:dyDescent="0.15">
      <c r="B36" s="34">
        <v>48</v>
      </c>
      <c r="C36" s="138"/>
      <c r="D36" s="138"/>
      <c r="E36" s="138"/>
      <c r="F36" s="138"/>
      <c r="G36" s="35"/>
      <c r="H36" s="34">
        <v>48</v>
      </c>
      <c r="I36" s="40">
        <v>0.59104510581811887</v>
      </c>
      <c r="J36" s="40">
        <v>0.39111143594358061</v>
      </c>
      <c r="K36" s="40">
        <v>0.40895489418188113</v>
      </c>
      <c r="L36" s="40">
        <v>0.60888856405641945</v>
      </c>
    </row>
    <row r="37" spans="2:12" ht="14" x14ac:dyDescent="0.15">
      <c r="B37" s="34">
        <v>49</v>
      </c>
      <c r="C37" s="138"/>
      <c r="D37" s="138"/>
      <c r="E37" s="138"/>
      <c r="F37" s="138"/>
      <c r="G37" s="35"/>
      <c r="H37" s="34">
        <v>49</v>
      </c>
      <c r="I37" s="40">
        <v>0.59104510581811887</v>
      </c>
      <c r="J37" s="40">
        <v>0.39111143594358061</v>
      </c>
      <c r="K37" s="40">
        <v>0.40895489418188113</v>
      </c>
      <c r="L37" s="40">
        <v>0.60888856405641945</v>
      </c>
    </row>
    <row r="38" spans="2:12" ht="14" x14ac:dyDescent="0.15">
      <c r="B38" s="34">
        <v>50</v>
      </c>
      <c r="C38" s="138"/>
      <c r="D38" s="138"/>
      <c r="E38" s="138"/>
      <c r="F38" s="138"/>
      <c r="G38" s="35"/>
      <c r="H38" s="34">
        <v>50</v>
      </c>
      <c r="I38" s="40">
        <v>0.59104510581811887</v>
      </c>
      <c r="J38" s="40">
        <v>0.39111143594358061</v>
      </c>
      <c r="K38" s="40">
        <v>0.40895489418188113</v>
      </c>
      <c r="L38" s="40">
        <v>0.60888856405641945</v>
      </c>
    </row>
    <row r="39" spans="2:12" ht="14" x14ac:dyDescent="0.15">
      <c r="B39" s="34">
        <v>51</v>
      </c>
      <c r="C39" s="138"/>
      <c r="D39" s="138"/>
      <c r="E39" s="138"/>
      <c r="F39" s="138"/>
      <c r="G39" s="35"/>
      <c r="H39" s="34">
        <v>51</v>
      </c>
      <c r="I39" s="40">
        <v>0.59104510581811887</v>
      </c>
      <c r="J39" s="40">
        <v>0.39111143594358061</v>
      </c>
      <c r="K39" s="40">
        <v>0.40895489418188113</v>
      </c>
      <c r="L39" s="40">
        <v>0.60888856405641945</v>
      </c>
    </row>
    <row r="40" spans="2:12" ht="14" x14ac:dyDescent="0.15">
      <c r="B40" s="34">
        <v>52</v>
      </c>
      <c r="C40" s="138"/>
      <c r="D40" s="138"/>
      <c r="E40" s="138"/>
      <c r="F40" s="138"/>
      <c r="G40" s="35"/>
      <c r="H40" s="34">
        <v>52</v>
      </c>
      <c r="I40" s="40">
        <v>0.59104510581811887</v>
      </c>
      <c r="J40" s="40">
        <v>0.39111143594358061</v>
      </c>
      <c r="K40" s="40">
        <v>0.40895489418188113</v>
      </c>
      <c r="L40" s="40">
        <v>0.60888856405641945</v>
      </c>
    </row>
    <row r="41" spans="2:12" ht="14" x14ac:dyDescent="0.15">
      <c r="B41" s="34">
        <v>53</v>
      </c>
      <c r="C41" s="138"/>
      <c r="D41" s="138"/>
      <c r="E41" s="138"/>
      <c r="F41" s="138"/>
      <c r="G41" s="35"/>
      <c r="H41" s="34">
        <v>53</v>
      </c>
      <c r="I41" s="40">
        <v>0.59104510581811887</v>
      </c>
      <c r="J41" s="40">
        <v>0.39111143594358061</v>
      </c>
      <c r="K41" s="40">
        <v>0.40895489418188113</v>
      </c>
      <c r="L41" s="40">
        <v>0.60888856405641945</v>
      </c>
    </row>
    <row r="42" spans="2:12" ht="14" x14ac:dyDescent="0.15">
      <c r="B42" s="34">
        <v>54</v>
      </c>
      <c r="C42" s="138"/>
      <c r="D42" s="138"/>
      <c r="E42" s="138"/>
      <c r="F42" s="138"/>
      <c r="G42" s="35"/>
      <c r="H42" s="34">
        <v>54</v>
      </c>
      <c r="I42" s="40">
        <v>0.59104510581811887</v>
      </c>
      <c r="J42" s="40">
        <v>0.39111143594358061</v>
      </c>
      <c r="K42" s="40">
        <v>0.40895489418188113</v>
      </c>
      <c r="L42" s="40">
        <v>0.60888856405641945</v>
      </c>
    </row>
    <row r="43" spans="2:12" ht="14" x14ac:dyDescent="0.15">
      <c r="B43" s="34">
        <v>55</v>
      </c>
      <c r="C43" s="138"/>
      <c r="D43" s="138"/>
      <c r="E43" s="138"/>
      <c r="F43" s="138"/>
      <c r="G43" s="35"/>
      <c r="H43" s="34">
        <v>55</v>
      </c>
      <c r="I43" s="40">
        <v>0.59104510581811887</v>
      </c>
      <c r="J43" s="40">
        <v>0.39111143594358061</v>
      </c>
      <c r="K43" s="40">
        <v>0.40895489418188113</v>
      </c>
      <c r="L43" s="40">
        <v>0.60888856405641945</v>
      </c>
    </row>
    <row r="44" spans="2:12" ht="14" x14ac:dyDescent="0.15">
      <c r="B44" s="34">
        <v>56</v>
      </c>
      <c r="C44" s="138"/>
      <c r="D44" s="138"/>
      <c r="E44" s="138"/>
      <c r="F44" s="138"/>
      <c r="G44" s="35"/>
      <c r="H44" s="34">
        <v>56</v>
      </c>
      <c r="I44" s="40">
        <v>0.59104510581811887</v>
      </c>
      <c r="J44" s="40">
        <v>0.39111143594358061</v>
      </c>
      <c r="K44" s="40">
        <v>0.40895489418188113</v>
      </c>
      <c r="L44" s="40">
        <v>0.60888856405641945</v>
      </c>
    </row>
    <row r="45" spans="2:12" ht="14" x14ac:dyDescent="0.15">
      <c r="B45" s="34">
        <v>57</v>
      </c>
      <c r="C45" s="138"/>
      <c r="D45" s="138"/>
      <c r="E45" s="138"/>
      <c r="F45" s="138"/>
      <c r="G45" s="35"/>
      <c r="H45" s="34">
        <v>57</v>
      </c>
      <c r="I45" s="40">
        <v>0.59104510581811887</v>
      </c>
      <c r="J45" s="40">
        <v>0.39111143594358061</v>
      </c>
      <c r="K45" s="40">
        <v>0.40895489418188113</v>
      </c>
      <c r="L45" s="40">
        <v>0.60888856405641945</v>
      </c>
    </row>
    <row r="46" spans="2:12" ht="14" x14ac:dyDescent="0.15">
      <c r="B46" s="34">
        <v>58</v>
      </c>
      <c r="C46" s="138"/>
      <c r="D46" s="138"/>
      <c r="E46" s="138"/>
      <c r="F46" s="138"/>
      <c r="G46" s="35"/>
      <c r="H46" s="34">
        <v>58</v>
      </c>
      <c r="I46" s="40">
        <v>0.59104510581811887</v>
      </c>
      <c r="J46" s="40">
        <v>0.39111143594358061</v>
      </c>
      <c r="K46" s="40">
        <v>0.40895489418188113</v>
      </c>
      <c r="L46" s="40">
        <v>0.60888856405641945</v>
      </c>
    </row>
    <row r="47" spans="2:12" ht="14" x14ac:dyDescent="0.15">
      <c r="B47" s="34">
        <v>59</v>
      </c>
      <c r="C47" s="138"/>
      <c r="D47" s="138"/>
      <c r="E47" s="138"/>
      <c r="F47" s="138"/>
      <c r="G47" s="35"/>
      <c r="H47" s="34">
        <v>59</v>
      </c>
      <c r="I47" s="40">
        <v>0.59104510581811887</v>
      </c>
      <c r="J47" s="40">
        <v>0.39111143594358061</v>
      </c>
      <c r="K47" s="40">
        <v>0.40895489418188113</v>
      </c>
      <c r="L47" s="40">
        <v>0.60888856405641945</v>
      </c>
    </row>
    <row r="48" spans="2:12" ht="14" x14ac:dyDescent="0.15">
      <c r="B48" s="34">
        <v>60</v>
      </c>
      <c r="C48" s="138"/>
      <c r="D48" s="138"/>
      <c r="E48" s="138"/>
      <c r="F48" s="138"/>
      <c r="G48" s="35"/>
      <c r="H48" s="34">
        <v>60</v>
      </c>
      <c r="I48" s="40">
        <v>0.59104510581811887</v>
      </c>
      <c r="J48" s="40">
        <v>0.39111143594358061</v>
      </c>
      <c r="K48" s="40">
        <v>0.40895489418188113</v>
      </c>
      <c r="L48" s="40">
        <v>0.60888856405641945</v>
      </c>
    </row>
    <row r="49" spans="2:12" ht="14" x14ac:dyDescent="0.15">
      <c r="B49" s="34">
        <v>61</v>
      </c>
      <c r="C49" s="138"/>
      <c r="D49" s="138"/>
      <c r="E49" s="138"/>
      <c r="F49" s="138"/>
      <c r="G49" s="35"/>
      <c r="H49" s="34">
        <v>61</v>
      </c>
      <c r="I49" s="40">
        <v>0.59104510581811887</v>
      </c>
      <c r="J49" s="40">
        <v>0.39111143594358061</v>
      </c>
      <c r="K49" s="40">
        <v>0.40895489418188113</v>
      </c>
      <c r="L49" s="40">
        <v>0.60888856405641945</v>
      </c>
    </row>
    <row r="50" spans="2:12" ht="14" x14ac:dyDescent="0.15">
      <c r="B50" s="34">
        <v>62</v>
      </c>
      <c r="C50" s="138"/>
      <c r="D50" s="138"/>
      <c r="E50" s="138"/>
      <c r="F50" s="138"/>
      <c r="G50" s="35"/>
      <c r="H50" s="34">
        <v>62</v>
      </c>
      <c r="I50" s="40">
        <v>0.59104510581811887</v>
      </c>
      <c r="J50" s="40">
        <v>0.39111143594358061</v>
      </c>
      <c r="K50" s="40">
        <v>0.40895489418188113</v>
      </c>
      <c r="L50" s="40">
        <v>0.60888856405641945</v>
      </c>
    </row>
    <row r="51" spans="2:12" ht="14" x14ac:dyDescent="0.15">
      <c r="B51" s="34">
        <v>63</v>
      </c>
      <c r="C51" s="138"/>
      <c r="D51" s="138"/>
      <c r="E51" s="138"/>
      <c r="F51" s="138"/>
      <c r="G51" s="35"/>
      <c r="H51" s="34">
        <v>63</v>
      </c>
      <c r="I51" s="40">
        <v>0.59104510581811887</v>
      </c>
      <c r="J51" s="40">
        <v>0.39111143594358061</v>
      </c>
      <c r="K51" s="40">
        <v>0.40895489418188113</v>
      </c>
      <c r="L51" s="40">
        <v>0.60888856405641945</v>
      </c>
    </row>
    <row r="52" spans="2:12" ht="14" x14ac:dyDescent="0.15">
      <c r="B52" s="34">
        <v>64</v>
      </c>
      <c r="C52" s="138"/>
      <c r="D52" s="138"/>
      <c r="E52" s="138"/>
      <c r="F52" s="138"/>
      <c r="G52" s="35"/>
      <c r="H52" s="34">
        <v>64</v>
      </c>
      <c r="I52" s="40">
        <v>0.59104510581811887</v>
      </c>
      <c r="J52" s="40">
        <v>0.39111143594358061</v>
      </c>
      <c r="K52" s="40">
        <v>0.40895489418188113</v>
      </c>
      <c r="L52" s="40">
        <v>0.60888856405641945</v>
      </c>
    </row>
    <row r="53" spans="2:12" ht="14" x14ac:dyDescent="0.15">
      <c r="B53" s="34">
        <v>65</v>
      </c>
      <c r="C53" s="138"/>
      <c r="D53" s="138"/>
      <c r="E53" s="138"/>
      <c r="F53" s="138"/>
      <c r="G53" s="35"/>
      <c r="H53" s="34">
        <v>65</v>
      </c>
      <c r="I53" s="40">
        <v>0.59104510581811887</v>
      </c>
      <c r="J53" s="40">
        <v>0.39111143594358061</v>
      </c>
      <c r="K53" s="40">
        <v>0.40895489418188113</v>
      </c>
      <c r="L53" s="40">
        <v>0.60888856405641945</v>
      </c>
    </row>
    <row r="54" spans="2:12" ht="14" x14ac:dyDescent="0.15">
      <c r="B54" s="34">
        <v>66</v>
      </c>
      <c r="C54" s="138"/>
      <c r="D54" s="138"/>
      <c r="E54" s="138"/>
      <c r="F54" s="138"/>
      <c r="G54" s="35"/>
      <c r="H54" s="34">
        <v>66</v>
      </c>
      <c r="I54" s="40">
        <v>0.59104510581811887</v>
      </c>
      <c r="J54" s="40">
        <v>0.39111143594358061</v>
      </c>
      <c r="K54" s="40">
        <v>0.40895489418188113</v>
      </c>
      <c r="L54" s="40">
        <v>0.60888856405641945</v>
      </c>
    </row>
    <row r="55" spans="2:12" ht="14" x14ac:dyDescent="0.15">
      <c r="B55" s="34">
        <v>67</v>
      </c>
      <c r="C55" s="138"/>
      <c r="D55" s="138"/>
      <c r="E55" s="138"/>
      <c r="F55" s="138"/>
      <c r="G55" s="35"/>
      <c r="H55" s="34">
        <v>67</v>
      </c>
      <c r="I55" s="40">
        <v>0.59104510581811887</v>
      </c>
      <c r="J55" s="40">
        <v>0.39111143594358061</v>
      </c>
      <c r="K55" s="40">
        <v>0.40895489418188113</v>
      </c>
      <c r="L55" s="40">
        <v>0.60888856405641945</v>
      </c>
    </row>
    <row r="56" spans="2:12" ht="14" x14ac:dyDescent="0.15">
      <c r="B56" s="34">
        <v>68</v>
      </c>
      <c r="C56" s="138"/>
      <c r="D56" s="138"/>
      <c r="E56" s="138"/>
      <c r="F56" s="138"/>
      <c r="G56" s="35"/>
      <c r="H56" s="34">
        <v>68</v>
      </c>
      <c r="I56" s="40">
        <v>0.59104510581811887</v>
      </c>
      <c r="J56" s="40">
        <v>0.39111143594358061</v>
      </c>
      <c r="K56" s="40">
        <v>0.40895489418188113</v>
      </c>
      <c r="L56" s="40">
        <v>0.60888856405641945</v>
      </c>
    </row>
    <row r="57" spans="2:12" ht="14" x14ac:dyDescent="0.15">
      <c r="B57" s="34">
        <v>69</v>
      </c>
      <c r="C57" s="138"/>
      <c r="D57" s="138"/>
      <c r="E57" s="138"/>
      <c r="F57" s="138"/>
      <c r="G57" s="35"/>
      <c r="H57" s="34">
        <v>69</v>
      </c>
      <c r="I57" s="40">
        <v>0.59104510581811887</v>
      </c>
      <c r="J57" s="40">
        <v>0.39111143594358061</v>
      </c>
      <c r="K57" s="40">
        <v>0.40895489418188113</v>
      </c>
      <c r="L57" s="40">
        <v>0.60888856405641945</v>
      </c>
    </row>
    <row r="58" spans="2:12" ht="14" x14ac:dyDescent="0.15">
      <c r="B58" s="34">
        <v>70</v>
      </c>
      <c r="C58" s="138"/>
      <c r="D58" s="138"/>
      <c r="E58" s="138"/>
      <c r="F58" s="138"/>
      <c r="G58" s="35"/>
      <c r="H58" s="34">
        <v>70</v>
      </c>
      <c r="I58" s="40">
        <v>0.59104510581811887</v>
      </c>
      <c r="J58" s="40">
        <v>0.39111143594358061</v>
      </c>
      <c r="K58" s="40">
        <v>0.40895489418188113</v>
      </c>
      <c r="L58" s="40">
        <v>0.60888856405641945</v>
      </c>
    </row>
    <row r="59" spans="2:12" ht="14" x14ac:dyDescent="0.15">
      <c r="B59" s="34">
        <v>71</v>
      </c>
      <c r="C59" s="138"/>
      <c r="D59" s="138"/>
      <c r="E59" s="138"/>
      <c r="F59" s="138"/>
      <c r="G59" s="35"/>
      <c r="H59" s="34">
        <v>71</v>
      </c>
      <c r="I59" s="40">
        <v>0.59104510581811887</v>
      </c>
      <c r="J59" s="40">
        <v>0.39111143594358061</v>
      </c>
      <c r="K59" s="40">
        <v>0.40895489418188113</v>
      </c>
      <c r="L59" s="40">
        <v>0.60888856405641945</v>
      </c>
    </row>
    <row r="60" spans="2:12" ht="14" x14ac:dyDescent="0.15">
      <c r="B60" s="34">
        <v>72</v>
      </c>
      <c r="C60" s="138"/>
      <c r="D60" s="138"/>
      <c r="E60" s="138"/>
      <c r="F60" s="138"/>
      <c r="G60" s="35"/>
      <c r="H60" s="34">
        <v>72</v>
      </c>
      <c r="I60" s="40">
        <v>0.59104510581811887</v>
      </c>
      <c r="J60" s="40">
        <v>0.39111143594358061</v>
      </c>
      <c r="K60" s="40">
        <v>0.40895489418188113</v>
      </c>
      <c r="L60" s="40">
        <v>0.60888856405641945</v>
      </c>
    </row>
    <row r="61" spans="2:12" ht="14" x14ac:dyDescent="0.15">
      <c r="B61" s="34">
        <v>73</v>
      </c>
      <c r="C61" s="138"/>
      <c r="D61" s="138"/>
      <c r="E61" s="138"/>
      <c r="F61" s="138"/>
      <c r="G61" s="35"/>
      <c r="H61" s="34">
        <v>73</v>
      </c>
      <c r="I61" s="40">
        <v>0.59104510581811887</v>
      </c>
      <c r="J61" s="40">
        <v>0.39111143594358061</v>
      </c>
      <c r="K61" s="40">
        <v>0.40895489418188113</v>
      </c>
      <c r="L61" s="40">
        <v>0.60888856405641945</v>
      </c>
    </row>
    <row r="62" spans="2:12" ht="14" x14ac:dyDescent="0.15">
      <c r="B62" s="34">
        <v>74</v>
      </c>
      <c r="C62" s="138"/>
      <c r="D62" s="138"/>
      <c r="E62" s="138"/>
      <c r="F62" s="138"/>
      <c r="G62" s="35"/>
      <c r="H62" s="34">
        <v>74</v>
      </c>
      <c r="I62" s="40">
        <v>0.59104510581811887</v>
      </c>
      <c r="J62" s="40">
        <v>0.39111143594358061</v>
      </c>
      <c r="K62" s="40">
        <v>0.40895489418188113</v>
      </c>
      <c r="L62" s="40">
        <v>0.60888856405641945</v>
      </c>
    </row>
    <row r="63" spans="2:12" ht="14" x14ac:dyDescent="0.15">
      <c r="B63" s="34">
        <v>75</v>
      </c>
      <c r="C63" s="138"/>
      <c r="D63" s="138"/>
      <c r="E63" s="138"/>
      <c r="F63" s="138"/>
      <c r="G63" s="35"/>
      <c r="H63" s="34">
        <v>75</v>
      </c>
      <c r="I63" s="40">
        <v>0.59104510581811887</v>
      </c>
      <c r="J63" s="40">
        <v>0.39111143594358061</v>
      </c>
      <c r="K63" s="40">
        <v>0.40895489418188113</v>
      </c>
      <c r="L63" s="40">
        <v>0.60888856405641945</v>
      </c>
    </row>
    <row r="64" spans="2:12" ht="14" x14ac:dyDescent="0.15">
      <c r="B64" s="34">
        <v>76</v>
      </c>
      <c r="C64" s="138"/>
      <c r="D64" s="138"/>
      <c r="E64" s="138"/>
      <c r="F64" s="138"/>
      <c r="G64" s="35"/>
      <c r="H64" s="34">
        <v>76</v>
      </c>
      <c r="I64" s="40">
        <v>0.59104510581811887</v>
      </c>
      <c r="J64" s="40">
        <v>0.39111143594358061</v>
      </c>
      <c r="K64" s="40">
        <v>0.40895489418188113</v>
      </c>
      <c r="L64" s="40">
        <v>0.60888856405641945</v>
      </c>
    </row>
    <row r="65" spans="2:12" ht="14" x14ac:dyDescent="0.15">
      <c r="B65" s="34">
        <v>77</v>
      </c>
      <c r="C65" s="138"/>
      <c r="D65" s="138"/>
      <c r="E65" s="138"/>
      <c r="F65" s="138"/>
      <c r="G65" s="35"/>
      <c r="H65" s="34">
        <v>77</v>
      </c>
      <c r="I65" s="40">
        <v>0.59104510581811887</v>
      </c>
      <c r="J65" s="40">
        <v>0.39111143594358061</v>
      </c>
      <c r="K65" s="40">
        <v>0.40895489418188113</v>
      </c>
      <c r="L65" s="40">
        <v>0.60888856405641945</v>
      </c>
    </row>
    <row r="66" spans="2:12" ht="14" x14ac:dyDescent="0.15">
      <c r="B66" s="34">
        <v>78</v>
      </c>
      <c r="C66" s="138"/>
      <c r="D66" s="138"/>
      <c r="E66" s="138"/>
      <c r="F66" s="138"/>
      <c r="G66" s="35"/>
      <c r="H66" s="34">
        <v>78</v>
      </c>
      <c r="I66" s="40">
        <v>0.59104510581811887</v>
      </c>
      <c r="J66" s="40">
        <v>0.39111143594358061</v>
      </c>
      <c r="K66" s="40">
        <v>0.40895489418188113</v>
      </c>
      <c r="L66" s="40">
        <v>0.60888856405641945</v>
      </c>
    </row>
    <row r="67" spans="2:12" ht="14" x14ac:dyDescent="0.15">
      <c r="B67" s="34">
        <v>79</v>
      </c>
      <c r="C67" s="138"/>
      <c r="D67" s="138"/>
      <c r="E67" s="138"/>
      <c r="F67" s="138"/>
      <c r="G67" s="35"/>
      <c r="H67" s="34">
        <v>79</v>
      </c>
      <c r="I67" s="40">
        <v>0.59104510581811887</v>
      </c>
      <c r="J67" s="40">
        <v>0.39111143594358061</v>
      </c>
      <c r="K67" s="40">
        <v>0.40895489418188113</v>
      </c>
      <c r="L67" s="40">
        <v>0.60888856405641945</v>
      </c>
    </row>
    <row r="68" spans="2:12" ht="14" x14ac:dyDescent="0.15">
      <c r="B68" s="34">
        <v>80</v>
      </c>
      <c r="C68" s="138"/>
      <c r="D68" s="138"/>
      <c r="E68" s="138"/>
      <c r="F68" s="138"/>
      <c r="G68" s="35"/>
      <c r="H68" s="34">
        <v>80</v>
      </c>
      <c r="I68" s="40">
        <v>0.59104510581811887</v>
      </c>
      <c r="J68" s="40">
        <v>0.39111143594358061</v>
      </c>
      <c r="K68" s="40">
        <v>0.40895489418188113</v>
      </c>
      <c r="L68" s="40">
        <v>0.60888856405641945</v>
      </c>
    </row>
    <row r="69" spans="2:12" ht="14" x14ac:dyDescent="0.15">
      <c r="B69" s="34">
        <v>81</v>
      </c>
      <c r="C69" s="138"/>
      <c r="D69" s="138"/>
      <c r="E69" s="138"/>
      <c r="F69" s="138"/>
      <c r="G69" s="35"/>
      <c r="H69" s="34">
        <v>81</v>
      </c>
      <c r="I69" s="40">
        <v>0.59104510581811887</v>
      </c>
      <c r="J69" s="40">
        <v>0.39111143594358061</v>
      </c>
      <c r="K69" s="40">
        <v>0.40895489418188113</v>
      </c>
      <c r="L69" s="40">
        <v>0.60888856405641945</v>
      </c>
    </row>
    <row r="70" spans="2:12" ht="14" x14ac:dyDescent="0.15">
      <c r="B70" s="34">
        <v>82</v>
      </c>
      <c r="C70" s="138"/>
      <c r="D70" s="138"/>
      <c r="E70" s="138"/>
      <c r="F70" s="138"/>
      <c r="G70" s="35"/>
      <c r="H70" s="34">
        <v>82</v>
      </c>
      <c r="I70" s="40">
        <v>0.59104510581811887</v>
      </c>
      <c r="J70" s="40">
        <v>0.39111143594358061</v>
      </c>
      <c r="K70" s="40">
        <v>0.40895489418188113</v>
      </c>
      <c r="L70" s="40">
        <v>0.60888856405641945</v>
      </c>
    </row>
    <row r="71" spans="2:12" ht="14" x14ac:dyDescent="0.15">
      <c r="B71" s="34">
        <v>83</v>
      </c>
      <c r="C71" s="138"/>
      <c r="D71" s="138"/>
      <c r="E71" s="138"/>
      <c r="F71" s="138"/>
      <c r="G71" s="35"/>
      <c r="H71" s="34">
        <v>83</v>
      </c>
      <c r="I71" s="40">
        <v>0.59104510581811887</v>
      </c>
      <c r="J71" s="40">
        <v>0.39111143594358061</v>
      </c>
      <c r="K71" s="40">
        <v>0.40895489418188113</v>
      </c>
      <c r="L71" s="40">
        <v>0.60888856405641945</v>
      </c>
    </row>
    <row r="72" spans="2:12" ht="14" x14ac:dyDescent="0.15">
      <c r="B72" s="34">
        <v>84</v>
      </c>
      <c r="C72" s="138"/>
      <c r="D72" s="138"/>
      <c r="E72" s="138"/>
      <c r="F72" s="138"/>
      <c r="G72" s="35"/>
      <c r="H72" s="34">
        <v>84</v>
      </c>
      <c r="I72" s="40">
        <v>0.59104510581811887</v>
      </c>
      <c r="J72" s="40">
        <v>0.39111143594358061</v>
      </c>
      <c r="K72" s="40">
        <v>0.40895489418188113</v>
      </c>
      <c r="L72" s="40">
        <v>0.60888856405641945</v>
      </c>
    </row>
    <row r="73" spans="2:12" ht="14" x14ac:dyDescent="0.15">
      <c r="B73" s="34">
        <v>85</v>
      </c>
      <c r="C73" s="138"/>
      <c r="D73" s="138"/>
      <c r="E73" s="138"/>
      <c r="F73" s="138"/>
      <c r="G73" s="35"/>
      <c r="H73" s="34">
        <v>85</v>
      </c>
      <c r="I73" s="40">
        <v>0.59104510581811887</v>
      </c>
      <c r="J73" s="40">
        <v>0.39111143594358061</v>
      </c>
      <c r="K73" s="40">
        <v>0.40895489418188113</v>
      </c>
      <c r="L73" s="40">
        <v>0.60888856405641945</v>
      </c>
    </row>
    <row r="74" spans="2:12" ht="14" x14ac:dyDescent="0.15">
      <c r="B74" s="34">
        <v>86</v>
      </c>
      <c r="C74" s="138"/>
      <c r="D74" s="138"/>
      <c r="E74" s="138"/>
      <c r="F74" s="138"/>
      <c r="G74" s="35"/>
      <c r="H74" s="34">
        <v>86</v>
      </c>
      <c r="I74" s="40">
        <v>0.59104510581811887</v>
      </c>
      <c r="J74" s="40">
        <v>0.39111143594358061</v>
      </c>
      <c r="K74" s="40">
        <v>0.40895489418188113</v>
      </c>
      <c r="L74" s="40">
        <v>0.60888856405641945</v>
      </c>
    </row>
    <row r="75" spans="2:12" ht="14" x14ac:dyDescent="0.15">
      <c r="B75" s="34">
        <v>87</v>
      </c>
      <c r="C75" s="138"/>
      <c r="D75" s="138"/>
      <c r="E75" s="138"/>
      <c r="F75" s="138"/>
      <c r="G75" s="35"/>
      <c r="H75" s="34">
        <v>87</v>
      </c>
      <c r="I75" s="40">
        <v>0.59104510581811887</v>
      </c>
      <c r="J75" s="40">
        <v>0.39111143594358061</v>
      </c>
      <c r="K75" s="40">
        <v>0.40895489418188113</v>
      </c>
      <c r="L75" s="40">
        <v>0.60888856405641945</v>
      </c>
    </row>
    <row r="76" spans="2:12" ht="14" x14ac:dyDescent="0.15">
      <c r="B76" s="34">
        <v>88</v>
      </c>
      <c r="C76" s="138"/>
      <c r="D76" s="138"/>
      <c r="E76" s="138"/>
      <c r="F76" s="138"/>
      <c r="G76" s="35"/>
      <c r="H76" s="34">
        <v>88</v>
      </c>
      <c r="I76" s="40">
        <v>0.59104510581811887</v>
      </c>
      <c r="J76" s="40">
        <v>0.39111143594358061</v>
      </c>
      <c r="K76" s="40">
        <v>0.40895489418188113</v>
      </c>
      <c r="L76" s="40">
        <v>0.60888856405641945</v>
      </c>
    </row>
    <row r="77" spans="2:12" ht="14" x14ac:dyDescent="0.15">
      <c r="B77" s="34">
        <v>89</v>
      </c>
      <c r="C77" s="138"/>
      <c r="D77" s="138"/>
      <c r="E77" s="138"/>
      <c r="F77" s="138"/>
      <c r="G77" s="35"/>
      <c r="H77" s="34">
        <v>89</v>
      </c>
      <c r="I77" s="40">
        <v>0.59104510581811887</v>
      </c>
      <c r="J77" s="40">
        <v>0.39111143594358061</v>
      </c>
      <c r="K77" s="40">
        <v>0.40895489418188113</v>
      </c>
      <c r="L77" s="40">
        <v>0.60888856405641945</v>
      </c>
    </row>
    <row r="78" spans="2:12" ht="14" x14ac:dyDescent="0.15">
      <c r="B78" s="34">
        <v>90</v>
      </c>
      <c r="C78" s="138"/>
      <c r="D78" s="138"/>
      <c r="E78" s="138"/>
      <c r="F78" s="138"/>
      <c r="G78" s="35"/>
      <c r="H78" s="34">
        <v>90</v>
      </c>
      <c r="I78" s="40">
        <v>0.59104510581811887</v>
      </c>
      <c r="J78" s="40">
        <v>0.39111143594358061</v>
      </c>
      <c r="K78" s="40">
        <v>0.40895489418188113</v>
      </c>
      <c r="L78" s="40">
        <v>0.60888856405641945</v>
      </c>
    </row>
    <row r="79" spans="2:12" ht="14" x14ac:dyDescent="0.15">
      <c r="B79" s="34">
        <v>91</v>
      </c>
      <c r="C79" s="138"/>
      <c r="D79" s="138"/>
      <c r="E79" s="138"/>
      <c r="F79" s="138"/>
      <c r="G79" s="35"/>
      <c r="H79" s="34">
        <v>91</v>
      </c>
      <c r="I79" s="40">
        <v>0.59104510581811887</v>
      </c>
      <c r="J79" s="40">
        <v>0.39111143594358061</v>
      </c>
      <c r="K79" s="40">
        <v>0.40895489418188113</v>
      </c>
      <c r="L79" s="40">
        <v>0.60888856405641945</v>
      </c>
    </row>
    <row r="80" spans="2:12" ht="14" x14ac:dyDescent="0.15">
      <c r="B80" s="34">
        <v>92</v>
      </c>
      <c r="C80" s="138"/>
      <c r="D80" s="138"/>
      <c r="E80" s="138"/>
      <c r="F80" s="138"/>
      <c r="G80" s="35"/>
      <c r="H80" s="34">
        <v>92</v>
      </c>
      <c r="I80" s="40">
        <v>0.59104510581811887</v>
      </c>
      <c r="J80" s="40">
        <v>0.39111143594358061</v>
      </c>
      <c r="K80" s="40">
        <v>0.40895489418188113</v>
      </c>
      <c r="L80" s="40">
        <v>0.60888856405641945</v>
      </c>
    </row>
    <row r="81" spans="2:12" ht="14" x14ac:dyDescent="0.15">
      <c r="B81" s="34">
        <v>93</v>
      </c>
      <c r="C81" s="138"/>
      <c r="D81" s="138"/>
      <c r="E81" s="138"/>
      <c r="F81" s="138"/>
      <c r="G81" s="35"/>
      <c r="H81" s="34">
        <v>93</v>
      </c>
      <c r="I81" s="40">
        <v>0.59104510581811887</v>
      </c>
      <c r="J81" s="40">
        <v>0.39111143594358061</v>
      </c>
      <c r="K81" s="40">
        <v>0.40895489418188113</v>
      </c>
      <c r="L81" s="40">
        <v>0.60888856405641945</v>
      </c>
    </row>
    <row r="82" spans="2:12" ht="14" x14ac:dyDescent="0.15">
      <c r="B82" s="34">
        <v>94</v>
      </c>
      <c r="C82" s="138"/>
      <c r="D82" s="138"/>
      <c r="E82" s="138"/>
      <c r="F82" s="138"/>
      <c r="G82" s="35"/>
      <c r="H82" s="34">
        <v>94</v>
      </c>
      <c r="I82" s="40">
        <v>0.59104510581811887</v>
      </c>
      <c r="J82" s="40">
        <v>0.39111143594358061</v>
      </c>
      <c r="K82" s="40">
        <v>0.40895489418188113</v>
      </c>
      <c r="L82" s="40">
        <v>0.60888856405641945</v>
      </c>
    </row>
    <row r="83" spans="2:12" ht="14" x14ac:dyDescent="0.15">
      <c r="B83" s="34">
        <v>95</v>
      </c>
      <c r="C83" s="138"/>
      <c r="D83" s="138"/>
      <c r="E83" s="138"/>
      <c r="F83" s="138"/>
      <c r="G83" s="35"/>
      <c r="H83" s="34">
        <v>95</v>
      </c>
      <c r="I83" s="40">
        <v>0.59104510581811887</v>
      </c>
      <c r="J83" s="40">
        <v>0.39111143594358061</v>
      </c>
      <c r="K83" s="40">
        <v>0.40895489418188113</v>
      </c>
      <c r="L83" s="40">
        <v>0.60888856405641945</v>
      </c>
    </row>
    <row r="84" spans="2:12" ht="14" x14ac:dyDescent="0.15">
      <c r="B84" s="34">
        <v>96</v>
      </c>
      <c r="C84" s="138"/>
      <c r="D84" s="138"/>
      <c r="E84" s="138"/>
      <c r="F84" s="138"/>
      <c r="G84" s="35"/>
      <c r="H84" s="34">
        <v>96</v>
      </c>
      <c r="I84" s="40">
        <v>0.59104510581811887</v>
      </c>
      <c r="J84" s="40">
        <v>0.39111143594358061</v>
      </c>
      <c r="K84" s="40">
        <v>0.40895489418188113</v>
      </c>
      <c r="L84" s="40">
        <v>0.60888856405641945</v>
      </c>
    </row>
    <row r="85" spans="2:12" ht="14" x14ac:dyDescent="0.15">
      <c r="B85" s="34">
        <v>97</v>
      </c>
      <c r="C85" s="138"/>
      <c r="D85" s="138"/>
      <c r="E85" s="138"/>
      <c r="F85" s="138"/>
      <c r="G85" s="35"/>
      <c r="H85" s="34">
        <v>97</v>
      </c>
      <c r="I85" s="40">
        <v>0.59104510581811887</v>
      </c>
      <c r="J85" s="40">
        <v>0.39111143594358061</v>
      </c>
      <c r="K85" s="40">
        <v>0.40895489418188113</v>
      </c>
      <c r="L85" s="40">
        <v>0.60888856405641945</v>
      </c>
    </row>
    <row r="86" spans="2:12" ht="14" x14ac:dyDescent="0.15">
      <c r="B86" s="34">
        <v>98</v>
      </c>
      <c r="C86" s="138"/>
      <c r="D86" s="138"/>
      <c r="E86" s="138"/>
      <c r="F86" s="138"/>
      <c r="G86" s="35"/>
      <c r="H86" s="34">
        <v>98</v>
      </c>
      <c r="I86" s="40">
        <v>0.59104510581811887</v>
      </c>
      <c r="J86" s="40">
        <v>0.39111143594358061</v>
      </c>
      <c r="K86" s="40">
        <v>0.40895489418188113</v>
      </c>
      <c r="L86" s="40">
        <v>0.60888856405641945</v>
      </c>
    </row>
    <row r="87" spans="2:12" ht="14" x14ac:dyDescent="0.15">
      <c r="B87" s="34">
        <v>99</v>
      </c>
      <c r="C87" s="138"/>
      <c r="D87" s="138"/>
      <c r="E87" s="138"/>
      <c r="F87" s="138"/>
      <c r="G87" s="35"/>
      <c r="H87" s="34">
        <v>99</v>
      </c>
      <c r="I87" s="40">
        <v>0.59104510581811887</v>
      </c>
      <c r="J87" s="40">
        <v>0.39111143594358061</v>
      </c>
      <c r="K87" s="40">
        <v>0.40895489418188113</v>
      </c>
      <c r="L87" s="40">
        <v>0.60888856405641945</v>
      </c>
    </row>
    <row r="88" spans="2:12" ht="14" x14ac:dyDescent="0.15">
      <c r="B88" s="34">
        <v>100</v>
      </c>
      <c r="C88" s="138"/>
      <c r="D88" s="138"/>
      <c r="E88" s="138"/>
      <c r="F88" s="138"/>
      <c r="G88" s="35"/>
      <c r="H88" s="34">
        <v>100</v>
      </c>
      <c r="I88" s="40">
        <v>0.59104510581811887</v>
      </c>
      <c r="J88" s="40">
        <v>0.39111143594358061</v>
      </c>
      <c r="K88" s="40">
        <v>0.40895489418188113</v>
      </c>
      <c r="L88" s="40">
        <v>0.60888856405641945</v>
      </c>
    </row>
    <row r="89" spans="2:12" ht="14" x14ac:dyDescent="0.15">
      <c r="B89" s="34">
        <v>101</v>
      </c>
      <c r="C89" s="138"/>
      <c r="D89" s="138"/>
      <c r="E89" s="138"/>
      <c r="F89" s="138"/>
      <c r="G89" s="35"/>
      <c r="H89" s="34">
        <v>101</v>
      </c>
      <c r="I89" s="40">
        <v>0.59104510581811887</v>
      </c>
      <c r="J89" s="40">
        <v>0.39111143594358061</v>
      </c>
      <c r="K89" s="40">
        <v>0.40895489418188113</v>
      </c>
      <c r="L89" s="40">
        <v>0.60888856405641945</v>
      </c>
    </row>
    <row r="90" spans="2:12" ht="14" x14ac:dyDescent="0.15">
      <c r="B90" s="34">
        <v>102</v>
      </c>
      <c r="C90" s="138"/>
      <c r="D90" s="138"/>
      <c r="E90" s="138"/>
      <c r="F90" s="138"/>
      <c r="G90" s="35"/>
      <c r="H90" s="34">
        <v>102</v>
      </c>
      <c r="I90" s="40">
        <v>0.59104510581811887</v>
      </c>
      <c r="J90" s="40">
        <v>0.39111143594358061</v>
      </c>
      <c r="K90" s="40">
        <v>0.40895489418188113</v>
      </c>
      <c r="L90" s="40">
        <v>0.60888856405641945</v>
      </c>
    </row>
    <row r="91" spans="2:12" ht="14" x14ac:dyDescent="0.15">
      <c r="B91" s="34">
        <v>103</v>
      </c>
      <c r="C91" s="138"/>
      <c r="D91" s="138"/>
      <c r="E91" s="138"/>
      <c r="F91" s="138"/>
      <c r="G91" s="35"/>
      <c r="H91" s="34">
        <v>103</v>
      </c>
      <c r="I91" s="40">
        <v>0.59104510581811887</v>
      </c>
      <c r="J91" s="40">
        <v>0.39111143594358061</v>
      </c>
      <c r="K91" s="40">
        <v>0.40895489418188113</v>
      </c>
      <c r="L91" s="40">
        <v>0.60888856405641945</v>
      </c>
    </row>
    <row r="92" spans="2:12" ht="14" x14ac:dyDescent="0.15">
      <c r="B92" s="34">
        <v>104</v>
      </c>
      <c r="C92" s="138"/>
      <c r="D92" s="138"/>
      <c r="E92" s="138"/>
      <c r="F92" s="138"/>
      <c r="G92" s="35"/>
      <c r="H92" s="34">
        <v>104</v>
      </c>
      <c r="I92" s="40">
        <v>0.59104510581811887</v>
      </c>
      <c r="J92" s="40">
        <v>0.39111143594358061</v>
      </c>
      <c r="K92" s="40">
        <v>0.40895489418188113</v>
      </c>
      <c r="L92" s="40">
        <v>0.60888856405641945</v>
      </c>
    </row>
    <row r="93" spans="2:12" ht="14" x14ac:dyDescent="0.15">
      <c r="B93" s="48">
        <v>105</v>
      </c>
      <c r="C93" s="139"/>
      <c r="D93" s="139"/>
      <c r="E93" s="139"/>
      <c r="F93" s="139"/>
      <c r="G93" s="35"/>
      <c r="H93" s="48">
        <v>105</v>
      </c>
      <c r="I93" s="49">
        <v>0.59104510581811887</v>
      </c>
      <c r="J93" s="49">
        <v>0.39111143594358061</v>
      </c>
      <c r="K93" s="49">
        <v>0.40895489418188113</v>
      </c>
      <c r="L93" s="49">
        <v>0.60888856405641945</v>
      </c>
    </row>
  </sheetData>
  <mergeCells count="11">
    <mergeCell ref="N9:P9"/>
    <mergeCell ref="C6:F93"/>
    <mergeCell ref="B3:F3"/>
    <mergeCell ref="B4:B5"/>
    <mergeCell ref="C4:D4"/>
    <mergeCell ref="E4:F4"/>
    <mergeCell ref="N3:O3"/>
    <mergeCell ref="H3:L3"/>
    <mergeCell ref="H4:H5"/>
    <mergeCell ref="I4:J4"/>
    <mergeCell ref="K4:L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5270-E6B0-473D-8343-76E8FE5C3EBC}">
  <dimension ref="B4:H58"/>
  <sheetViews>
    <sheetView topLeftCell="A32" zoomScale="70" zoomScaleNormal="70" workbookViewId="0">
      <selection activeCell="L13" sqref="L13"/>
    </sheetView>
  </sheetViews>
  <sheetFormatPr baseColWidth="10" defaultColWidth="8.83203125" defaultRowHeight="14" x14ac:dyDescent="0.15"/>
  <cols>
    <col min="1" max="1" width="8.83203125" style="19"/>
    <col min="2" max="2" width="22.83203125" style="19" customWidth="1" collapsed="1"/>
    <col min="3" max="3" width="33.5" style="19" customWidth="1" collapsed="1"/>
    <col min="4" max="5" width="8.83203125" style="19"/>
    <col min="6" max="6" width="19.33203125" style="19" customWidth="1" collapsed="1"/>
    <col min="7" max="7" width="31" style="19" customWidth="1" collapsed="1"/>
    <col min="8" max="16384" width="8.83203125" style="19"/>
  </cols>
  <sheetData>
    <row r="4" spans="2:8" ht="32.5" customHeight="1" x14ac:dyDescent="0.15">
      <c r="B4" s="136" t="s">
        <v>2070</v>
      </c>
      <c r="C4" s="136"/>
      <c r="D4" s="15" t="s">
        <v>6</v>
      </c>
      <c r="E4" s="15"/>
      <c r="F4" s="136" t="s">
        <v>2071</v>
      </c>
      <c r="G4" s="136"/>
      <c r="H4" s="15" t="s">
        <v>5</v>
      </c>
    </row>
    <row r="5" spans="2:8" x14ac:dyDescent="0.15">
      <c r="B5" s="57" t="s">
        <v>0</v>
      </c>
      <c r="C5" s="50" t="s">
        <v>1</v>
      </c>
      <c r="D5" s="15"/>
      <c r="E5" s="15"/>
      <c r="F5" s="57" t="s">
        <v>0</v>
      </c>
      <c r="G5" s="50" t="s">
        <v>1</v>
      </c>
      <c r="H5" s="15"/>
    </row>
    <row r="6" spans="2:8" x14ac:dyDescent="0.15">
      <c r="B6" s="51">
        <v>18</v>
      </c>
      <c r="C6" s="52">
        <v>0</v>
      </c>
      <c r="D6" s="15"/>
      <c r="E6" s="15"/>
      <c r="F6" s="58">
        <v>18</v>
      </c>
      <c r="G6" s="59">
        <v>0</v>
      </c>
      <c r="H6" s="15"/>
    </row>
    <row r="7" spans="2:8" x14ac:dyDescent="0.15">
      <c r="B7" s="51">
        <v>19</v>
      </c>
      <c r="C7" s="52">
        <v>0</v>
      </c>
      <c r="D7" s="15"/>
      <c r="E7" s="15"/>
      <c r="F7" s="51">
        <v>19</v>
      </c>
      <c r="G7" s="52">
        <v>0</v>
      </c>
      <c r="H7" s="15"/>
    </row>
    <row r="8" spans="2:8" x14ac:dyDescent="0.15">
      <c r="B8" s="51">
        <v>20</v>
      </c>
      <c r="C8" s="52">
        <v>0</v>
      </c>
      <c r="D8" s="15"/>
      <c r="E8" s="15"/>
      <c r="F8" s="51">
        <v>20</v>
      </c>
      <c r="G8" s="52">
        <v>0</v>
      </c>
      <c r="H8" s="15"/>
    </row>
    <row r="9" spans="2:8" x14ac:dyDescent="0.15">
      <c r="B9" s="51">
        <v>21</v>
      </c>
      <c r="C9" s="52">
        <v>0</v>
      </c>
      <c r="D9" s="15"/>
      <c r="E9" s="15"/>
      <c r="F9" s="51">
        <v>21</v>
      </c>
      <c r="G9" s="52">
        <v>0</v>
      </c>
      <c r="H9" s="15"/>
    </row>
    <row r="10" spans="2:8" x14ac:dyDescent="0.15">
      <c r="B10" s="51">
        <v>22</v>
      </c>
      <c r="C10" s="52">
        <v>0</v>
      </c>
      <c r="D10" s="15"/>
      <c r="E10" s="15"/>
      <c r="F10" s="51">
        <v>22</v>
      </c>
      <c r="G10" s="52">
        <v>0</v>
      </c>
      <c r="H10" s="15"/>
    </row>
    <row r="11" spans="2:8" x14ac:dyDescent="0.15">
      <c r="B11" s="51">
        <v>23</v>
      </c>
      <c r="C11" s="52">
        <v>0</v>
      </c>
      <c r="D11" s="15"/>
      <c r="E11" s="60"/>
      <c r="F11" s="51">
        <v>23</v>
      </c>
      <c r="G11" s="52">
        <v>0</v>
      </c>
      <c r="H11" s="15"/>
    </row>
    <row r="12" spans="2:8" x14ac:dyDescent="0.15">
      <c r="B12" s="51">
        <v>24</v>
      </c>
      <c r="C12" s="52">
        <v>0</v>
      </c>
      <c r="D12" s="15"/>
      <c r="E12" s="15"/>
      <c r="F12" s="51">
        <v>24</v>
      </c>
      <c r="G12" s="52">
        <v>0</v>
      </c>
      <c r="H12" s="15"/>
    </row>
    <row r="13" spans="2:8" x14ac:dyDescent="0.15">
      <c r="B13" s="51">
        <v>25</v>
      </c>
      <c r="C13" s="52">
        <v>0</v>
      </c>
      <c r="D13" s="15"/>
      <c r="E13" s="15"/>
      <c r="F13" s="51">
        <v>25</v>
      </c>
      <c r="G13" s="52">
        <v>0</v>
      </c>
      <c r="H13" s="15"/>
    </row>
    <row r="14" spans="2:8" x14ac:dyDescent="0.15">
      <c r="B14" s="51">
        <v>26</v>
      </c>
      <c r="C14" s="52">
        <v>0</v>
      </c>
      <c r="D14" s="15"/>
      <c r="E14" s="15"/>
      <c r="F14" s="51">
        <v>26</v>
      </c>
      <c r="G14" s="52">
        <v>0</v>
      </c>
      <c r="H14" s="15"/>
    </row>
    <row r="15" spans="2:8" x14ac:dyDescent="0.15">
      <c r="B15" s="51">
        <v>27</v>
      </c>
      <c r="C15" s="52">
        <v>0</v>
      </c>
      <c r="D15" s="15"/>
      <c r="E15" s="15"/>
      <c r="F15" s="51">
        <v>27</v>
      </c>
      <c r="G15" s="52">
        <v>0</v>
      </c>
      <c r="H15" s="15"/>
    </row>
    <row r="16" spans="2:8" x14ac:dyDescent="0.15">
      <c r="B16" s="51">
        <v>28</v>
      </c>
      <c r="C16" s="52">
        <v>0</v>
      </c>
      <c r="D16" s="15"/>
      <c r="E16" s="15"/>
      <c r="F16" s="51">
        <v>28</v>
      </c>
      <c r="G16" s="52">
        <v>0</v>
      </c>
      <c r="H16" s="15"/>
    </row>
    <row r="17" spans="2:8" x14ac:dyDescent="0.15">
      <c r="B17" s="51">
        <v>29</v>
      </c>
      <c r="C17" s="52">
        <v>0</v>
      </c>
      <c r="D17" s="15"/>
      <c r="E17" s="15"/>
      <c r="F17" s="51">
        <v>29</v>
      </c>
      <c r="G17" s="52">
        <v>0</v>
      </c>
      <c r="H17" s="15"/>
    </row>
    <row r="18" spans="2:8" x14ac:dyDescent="0.15">
      <c r="B18" s="51">
        <v>30</v>
      </c>
      <c r="C18" s="52">
        <v>0</v>
      </c>
      <c r="D18" s="15"/>
      <c r="E18" s="15"/>
      <c r="F18" s="51">
        <v>30</v>
      </c>
      <c r="G18" s="52">
        <v>0</v>
      </c>
      <c r="H18" s="15"/>
    </row>
    <row r="19" spans="2:8" x14ac:dyDescent="0.15">
      <c r="B19" s="51">
        <v>31</v>
      </c>
      <c r="C19" s="52">
        <v>0</v>
      </c>
      <c r="D19" s="15"/>
      <c r="E19" s="15"/>
      <c r="F19" s="51">
        <v>31</v>
      </c>
      <c r="G19" s="52">
        <v>0</v>
      </c>
      <c r="H19" s="15"/>
    </row>
    <row r="20" spans="2:8" x14ac:dyDescent="0.15">
      <c r="B20" s="51">
        <v>32</v>
      </c>
      <c r="C20" s="52">
        <v>0</v>
      </c>
      <c r="D20" s="15"/>
      <c r="E20" s="15"/>
      <c r="F20" s="51">
        <v>32</v>
      </c>
      <c r="G20" s="52">
        <v>0</v>
      </c>
      <c r="H20" s="15"/>
    </row>
    <row r="21" spans="2:8" x14ac:dyDescent="0.15">
      <c r="B21" s="51">
        <v>33</v>
      </c>
      <c r="C21" s="52">
        <v>0</v>
      </c>
      <c r="D21" s="15"/>
      <c r="E21" s="15"/>
      <c r="F21" s="51">
        <v>33</v>
      </c>
      <c r="G21" s="52">
        <v>0</v>
      </c>
      <c r="H21" s="15"/>
    </row>
    <row r="22" spans="2:8" x14ac:dyDescent="0.15">
      <c r="B22" s="51">
        <v>34</v>
      </c>
      <c r="C22" s="52">
        <v>0</v>
      </c>
      <c r="D22" s="15"/>
      <c r="E22" s="15"/>
      <c r="F22" s="51">
        <v>34</v>
      </c>
      <c r="G22" s="52">
        <v>0</v>
      </c>
      <c r="H22" s="15"/>
    </row>
    <row r="23" spans="2:8" x14ac:dyDescent="0.15">
      <c r="B23" s="51">
        <v>35</v>
      </c>
      <c r="C23" s="52">
        <v>0</v>
      </c>
      <c r="D23" s="15"/>
      <c r="E23" s="15"/>
      <c r="F23" s="51">
        <v>35</v>
      </c>
      <c r="G23" s="52">
        <v>0</v>
      </c>
      <c r="H23" s="15"/>
    </row>
    <row r="24" spans="2:8" x14ac:dyDescent="0.15">
      <c r="B24" s="51">
        <v>36</v>
      </c>
      <c r="C24" s="52">
        <v>0</v>
      </c>
      <c r="D24" s="15"/>
      <c r="E24" s="15"/>
      <c r="F24" s="51">
        <v>36</v>
      </c>
      <c r="G24" s="52">
        <v>0</v>
      </c>
      <c r="H24" s="15"/>
    </row>
    <row r="25" spans="2:8" x14ac:dyDescent="0.15">
      <c r="B25" s="51">
        <v>37</v>
      </c>
      <c r="C25" s="52">
        <v>0</v>
      </c>
      <c r="D25" s="15"/>
      <c r="E25" s="15"/>
      <c r="F25" s="51">
        <v>37</v>
      </c>
      <c r="G25" s="52">
        <v>0</v>
      </c>
      <c r="H25" s="15"/>
    </row>
    <row r="26" spans="2:8" x14ac:dyDescent="0.15">
      <c r="B26" s="51">
        <v>38</v>
      </c>
      <c r="C26" s="52">
        <v>0</v>
      </c>
      <c r="D26" s="15"/>
      <c r="E26" s="15"/>
      <c r="F26" s="51">
        <v>38</v>
      </c>
      <c r="G26" s="52">
        <v>0</v>
      </c>
      <c r="H26" s="15"/>
    </row>
    <row r="27" spans="2:8" x14ac:dyDescent="0.15">
      <c r="B27" s="51">
        <v>39</v>
      </c>
      <c r="C27" s="52">
        <v>0</v>
      </c>
      <c r="D27" s="15"/>
      <c r="E27" s="15"/>
      <c r="F27" s="51">
        <v>39</v>
      </c>
      <c r="G27" s="52">
        <v>0</v>
      </c>
      <c r="H27" s="15"/>
    </row>
    <row r="28" spans="2:8" x14ac:dyDescent="0.15">
      <c r="B28" s="51">
        <v>40</v>
      </c>
      <c r="C28" s="52">
        <v>0</v>
      </c>
      <c r="D28" s="15"/>
      <c r="E28" s="15"/>
      <c r="F28" s="51">
        <v>40</v>
      </c>
      <c r="G28" s="52">
        <v>0</v>
      </c>
      <c r="H28" s="15"/>
    </row>
    <row r="29" spans="2:8" x14ac:dyDescent="0.15">
      <c r="B29" s="51">
        <v>41</v>
      </c>
      <c r="C29" s="52">
        <v>0</v>
      </c>
      <c r="D29" s="15"/>
      <c r="E29" s="15"/>
      <c r="F29" s="51">
        <v>41</v>
      </c>
      <c r="G29" s="52">
        <v>0</v>
      </c>
      <c r="H29" s="15"/>
    </row>
    <row r="30" spans="2:8" x14ac:dyDescent="0.15">
      <c r="B30" s="51">
        <v>42</v>
      </c>
      <c r="C30" s="52">
        <v>0</v>
      </c>
      <c r="D30" s="15"/>
      <c r="E30" s="15"/>
      <c r="F30" s="51">
        <v>42</v>
      </c>
      <c r="G30" s="52">
        <v>0</v>
      </c>
      <c r="H30" s="15"/>
    </row>
    <row r="31" spans="2:8" x14ac:dyDescent="0.15">
      <c r="B31" s="51">
        <v>43</v>
      </c>
      <c r="C31" s="52">
        <v>0</v>
      </c>
      <c r="D31" s="15"/>
      <c r="E31" s="15"/>
      <c r="F31" s="51">
        <v>43</v>
      </c>
      <c r="G31" s="52">
        <v>0</v>
      </c>
      <c r="H31" s="15"/>
    </row>
    <row r="32" spans="2:8" x14ac:dyDescent="0.15">
      <c r="B32" s="51">
        <v>44</v>
      </c>
      <c r="C32" s="52">
        <v>0</v>
      </c>
      <c r="D32" s="15"/>
      <c r="E32" s="15"/>
      <c r="F32" s="51">
        <v>44</v>
      </c>
      <c r="G32" s="52">
        <v>0</v>
      </c>
      <c r="H32" s="15"/>
    </row>
    <row r="33" spans="2:8" x14ac:dyDescent="0.15">
      <c r="B33" s="51">
        <v>45</v>
      </c>
      <c r="C33" s="52">
        <v>0</v>
      </c>
      <c r="D33" s="15"/>
      <c r="E33" s="15"/>
      <c r="F33" s="51">
        <v>45</v>
      </c>
      <c r="G33" s="52">
        <v>0</v>
      </c>
      <c r="H33" s="15"/>
    </row>
    <row r="34" spans="2:8" x14ac:dyDescent="0.15">
      <c r="B34" s="51">
        <v>46</v>
      </c>
      <c r="C34" s="52">
        <v>0</v>
      </c>
      <c r="D34" s="15"/>
      <c r="E34" s="15"/>
      <c r="F34" s="51">
        <v>46</v>
      </c>
      <c r="G34" s="52">
        <v>0</v>
      </c>
      <c r="H34" s="15"/>
    </row>
    <row r="35" spans="2:8" x14ac:dyDescent="0.15">
      <c r="B35" s="51">
        <v>47</v>
      </c>
      <c r="C35" s="52">
        <v>0</v>
      </c>
      <c r="D35" s="15"/>
      <c r="E35" s="15"/>
      <c r="F35" s="51">
        <v>47</v>
      </c>
      <c r="G35" s="52">
        <v>0</v>
      </c>
      <c r="H35" s="15"/>
    </row>
    <row r="36" spans="2:8" x14ac:dyDescent="0.15">
      <c r="B36" s="51">
        <v>48</v>
      </c>
      <c r="C36" s="52">
        <v>0</v>
      </c>
      <c r="D36" s="15"/>
      <c r="E36" s="15"/>
      <c r="F36" s="51">
        <v>48</v>
      </c>
      <c r="G36" s="52">
        <v>0</v>
      </c>
      <c r="H36" s="15"/>
    </row>
    <row r="37" spans="2:8" x14ac:dyDescent="0.15">
      <c r="B37" s="51">
        <v>49</v>
      </c>
      <c r="C37" s="52">
        <v>0</v>
      </c>
      <c r="D37" s="15"/>
      <c r="E37" s="15"/>
      <c r="F37" s="51">
        <v>49</v>
      </c>
      <c r="G37" s="52">
        <v>0</v>
      </c>
      <c r="H37" s="15"/>
    </row>
    <row r="38" spans="2:8" x14ac:dyDescent="0.15">
      <c r="B38" s="51">
        <v>50</v>
      </c>
      <c r="C38" s="52">
        <v>0</v>
      </c>
      <c r="D38" s="15"/>
      <c r="E38" s="15"/>
      <c r="F38" s="51">
        <v>50</v>
      </c>
      <c r="G38" s="52">
        <v>0</v>
      </c>
      <c r="H38" s="15"/>
    </row>
    <row r="39" spans="2:8" x14ac:dyDescent="0.15">
      <c r="B39" s="51">
        <v>51</v>
      </c>
      <c r="C39" s="52">
        <v>0</v>
      </c>
      <c r="D39" s="15"/>
      <c r="E39" s="15"/>
      <c r="F39" s="51">
        <v>51</v>
      </c>
      <c r="G39" s="52">
        <v>0</v>
      </c>
      <c r="H39" s="15"/>
    </row>
    <row r="40" spans="2:8" x14ac:dyDescent="0.15">
      <c r="B40" s="51">
        <v>52</v>
      </c>
      <c r="C40" s="52">
        <v>0</v>
      </c>
      <c r="D40" s="15"/>
      <c r="E40" s="15"/>
      <c r="F40" s="51">
        <v>52</v>
      </c>
      <c r="G40" s="52">
        <v>0</v>
      </c>
      <c r="H40" s="15"/>
    </row>
    <row r="41" spans="2:8" x14ac:dyDescent="0.15">
      <c r="B41" s="51">
        <v>53</v>
      </c>
      <c r="C41" s="52">
        <v>0</v>
      </c>
      <c r="D41" s="15"/>
      <c r="E41" s="15"/>
      <c r="F41" s="51">
        <v>53</v>
      </c>
      <c r="G41" s="52">
        <v>0</v>
      </c>
      <c r="H41" s="15"/>
    </row>
    <row r="42" spans="2:8" x14ac:dyDescent="0.15">
      <c r="B42" s="51">
        <v>54</v>
      </c>
      <c r="C42" s="52">
        <v>0</v>
      </c>
      <c r="D42" s="15"/>
      <c r="E42" s="15"/>
      <c r="F42" s="51">
        <v>54</v>
      </c>
      <c r="G42" s="52">
        <v>0</v>
      </c>
      <c r="H42" s="15"/>
    </row>
    <row r="43" spans="2:8" x14ac:dyDescent="0.15">
      <c r="B43" s="51">
        <v>55</v>
      </c>
      <c r="C43" s="52">
        <v>0</v>
      </c>
      <c r="D43" s="15"/>
      <c r="E43" s="15"/>
      <c r="F43" s="51">
        <v>55</v>
      </c>
      <c r="G43" s="52">
        <v>0</v>
      </c>
      <c r="H43" s="15"/>
    </row>
    <row r="44" spans="2:8" x14ac:dyDescent="0.15">
      <c r="B44" s="51">
        <v>56</v>
      </c>
      <c r="C44" s="52">
        <v>0</v>
      </c>
      <c r="D44" s="15"/>
      <c r="E44" s="15"/>
      <c r="F44" s="51">
        <v>56</v>
      </c>
      <c r="G44" s="52">
        <v>0</v>
      </c>
      <c r="H44" s="15"/>
    </row>
    <row r="45" spans="2:8" x14ac:dyDescent="0.15">
      <c r="B45" s="51">
        <v>57</v>
      </c>
      <c r="C45" s="52">
        <v>0</v>
      </c>
      <c r="D45" s="15"/>
      <c r="E45" s="15"/>
      <c r="F45" s="51">
        <v>57</v>
      </c>
      <c r="G45" s="52">
        <v>0</v>
      </c>
      <c r="H45" s="15"/>
    </row>
    <row r="46" spans="2:8" x14ac:dyDescent="0.15">
      <c r="B46" s="51">
        <v>58</v>
      </c>
      <c r="C46" s="52">
        <v>0</v>
      </c>
      <c r="D46" s="15"/>
      <c r="E46" s="15"/>
      <c r="F46" s="51">
        <v>58</v>
      </c>
      <c r="G46" s="52">
        <v>0</v>
      </c>
      <c r="H46" s="15"/>
    </row>
    <row r="47" spans="2:8" x14ac:dyDescent="0.15">
      <c r="B47" s="51">
        <v>59</v>
      </c>
      <c r="C47" s="52">
        <v>0</v>
      </c>
      <c r="D47" s="15"/>
      <c r="E47" s="15"/>
      <c r="F47" s="51">
        <v>59</v>
      </c>
      <c r="G47" s="52">
        <v>0</v>
      </c>
      <c r="H47" s="15"/>
    </row>
    <row r="48" spans="2:8" x14ac:dyDescent="0.15">
      <c r="B48" s="51">
        <v>60</v>
      </c>
      <c r="C48" s="52">
        <v>0</v>
      </c>
      <c r="D48" s="15"/>
      <c r="E48" s="15"/>
      <c r="F48" s="51">
        <v>60</v>
      </c>
      <c r="G48" s="52">
        <v>0</v>
      </c>
      <c r="H48" s="15"/>
    </row>
    <row r="49" spans="2:8" x14ac:dyDescent="0.15">
      <c r="B49" s="51">
        <v>61</v>
      </c>
      <c r="C49" s="52">
        <v>0</v>
      </c>
      <c r="D49" s="15"/>
      <c r="E49" s="15"/>
      <c r="F49" s="51">
        <v>61</v>
      </c>
      <c r="G49" s="52">
        <v>0</v>
      </c>
      <c r="H49" s="15"/>
    </row>
    <row r="50" spans="2:8" x14ac:dyDescent="0.15">
      <c r="B50" s="51">
        <v>62</v>
      </c>
      <c r="C50" s="52">
        <v>0</v>
      </c>
      <c r="D50" s="15"/>
      <c r="E50" s="15"/>
      <c r="F50" s="51">
        <v>62</v>
      </c>
      <c r="G50" s="52">
        <v>0</v>
      </c>
      <c r="H50" s="15"/>
    </row>
    <row r="51" spans="2:8" x14ac:dyDescent="0.15">
      <c r="B51" s="51">
        <v>63</v>
      </c>
      <c r="C51" s="52">
        <v>0</v>
      </c>
      <c r="D51" s="15"/>
      <c r="E51" s="15"/>
      <c r="F51" s="51">
        <v>63</v>
      </c>
      <c r="G51" s="52">
        <v>0</v>
      </c>
      <c r="H51" s="15"/>
    </row>
    <row r="52" spans="2:8" x14ac:dyDescent="0.15">
      <c r="B52" s="51">
        <v>64</v>
      </c>
      <c r="C52" s="52">
        <v>0</v>
      </c>
      <c r="D52" s="15"/>
      <c r="E52" s="15"/>
      <c r="F52" s="51">
        <v>64</v>
      </c>
      <c r="G52" s="52">
        <v>0</v>
      </c>
      <c r="H52" s="15"/>
    </row>
    <row r="53" spans="2:8" x14ac:dyDescent="0.15">
      <c r="B53" s="51">
        <v>65</v>
      </c>
      <c r="C53" s="52">
        <v>0</v>
      </c>
      <c r="D53" s="15"/>
      <c r="E53" s="15"/>
      <c r="F53" s="51">
        <v>65</v>
      </c>
      <c r="G53" s="52">
        <v>0</v>
      </c>
      <c r="H53" s="15"/>
    </row>
    <row r="54" spans="2:8" x14ac:dyDescent="0.15">
      <c r="B54" s="51">
        <v>66</v>
      </c>
      <c r="C54" s="52">
        <v>0</v>
      </c>
      <c r="D54" s="15"/>
      <c r="E54" s="15"/>
      <c r="F54" s="51">
        <v>66</v>
      </c>
      <c r="G54" s="52">
        <v>0</v>
      </c>
      <c r="H54" s="15"/>
    </row>
    <row r="55" spans="2:8" x14ac:dyDescent="0.15">
      <c r="B55" s="51">
        <v>67</v>
      </c>
      <c r="C55" s="52">
        <v>0</v>
      </c>
      <c r="D55" s="15"/>
      <c r="E55" s="15"/>
      <c r="F55" s="51">
        <v>67</v>
      </c>
      <c r="G55" s="52">
        <v>0</v>
      </c>
      <c r="H55" s="15"/>
    </row>
    <row r="56" spans="2:8" x14ac:dyDescent="0.15">
      <c r="B56" s="51">
        <v>68</v>
      </c>
      <c r="C56" s="52">
        <v>0</v>
      </c>
      <c r="D56" s="15"/>
      <c r="E56" s="15"/>
      <c r="F56" s="51">
        <v>68</v>
      </c>
      <c r="G56" s="52">
        <v>0</v>
      </c>
      <c r="H56" s="15"/>
    </row>
    <row r="57" spans="2:8" x14ac:dyDescent="0.15">
      <c r="B57" s="51">
        <v>69</v>
      </c>
      <c r="C57" s="52">
        <v>0</v>
      </c>
      <c r="D57" s="15"/>
      <c r="E57" s="15"/>
      <c r="F57" s="51">
        <v>69</v>
      </c>
      <c r="G57" s="52">
        <v>0</v>
      </c>
      <c r="H57" s="15"/>
    </row>
    <row r="58" spans="2:8" x14ac:dyDescent="0.15">
      <c r="B58" s="54">
        <v>70</v>
      </c>
      <c r="C58" s="55">
        <v>0</v>
      </c>
      <c r="D58" s="15"/>
      <c r="E58" s="15"/>
      <c r="F58" s="54">
        <v>70</v>
      </c>
      <c r="G58" s="55">
        <v>0</v>
      </c>
      <c r="H58" s="15"/>
    </row>
  </sheetData>
  <mergeCells count="2">
    <mergeCell ref="B4:C4"/>
    <mergeCell ref="F4:G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3C5F-1806-4778-A2E0-47FFC6F32139}">
  <dimension ref="B3:BP114"/>
  <sheetViews>
    <sheetView tabSelected="1" topLeftCell="AQ1" zoomScale="85" zoomScaleNormal="85" workbookViewId="0">
      <selection activeCell="AY16" sqref="AY16"/>
    </sheetView>
  </sheetViews>
  <sheetFormatPr baseColWidth="10" defaultColWidth="8.83203125" defaultRowHeight="13" x14ac:dyDescent="0.15"/>
  <cols>
    <col min="1" max="1" width="8.83203125" style="15" collapsed="1"/>
    <col min="2" max="2" width="23.1640625" style="15" customWidth="1" collapsed="1"/>
    <col min="3" max="3" width="27.83203125" style="15" customWidth="1" collapsed="1"/>
    <col min="4" max="4" width="9.33203125" style="15" customWidth="1" collapsed="1"/>
    <col min="5" max="6" width="23.1640625" style="15" customWidth="1" collapsed="1"/>
    <col min="7" max="7" width="22.6640625" style="15" customWidth="1" collapsed="1"/>
    <col min="8" max="8" width="9.83203125" style="15" customWidth="1" collapsed="1"/>
    <col min="9" max="9" width="14.1640625" style="15" customWidth="1" collapsed="1"/>
    <col min="10" max="10" width="18.83203125" style="15" customWidth="1" collapsed="1"/>
    <col min="11" max="11" width="31.1640625" style="15" customWidth="1" collapsed="1"/>
    <col min="12" max="13" width="8.83203125" style="15" collapsed="1"/>
    <col min="14" max="14" width="18.83203125" style="15" customWidth="1" collapsed="1"/>
    <col min="15" max="15" width="28.6640625" style="15" customWidth="1" collapsed="1"/>
    <col min="16" max="17" width="8.83203125" style="15" collapsed="1"/>
    <col min="18" max="18" width="20.1640625" style="15" customWidth="1" collapsed="1"/>
    <col min="19" max="19" width="28.83203125" style="15" customWidth="1" collapsed="1"/>
    <col min="20" max="21" width="8.83203125" style="15" collapsed="1"/>
    <col min="22" max="22" width="16" style="15" customWidth="1" collapsed="1"/>
    <col min="23" max="23" width="26.1640625" style="15" customWidth="1" collapsed="1"/>
    <col min="24" max="26" width="8.83203125" style="15" collapsed="1"/>
    <col min="27" max="27" width="9.5" style="15" customWidth="1" collapsed="1"/>
    <col min="28" max="28" width="16" style="15" customWidth="1" collapsed="1"/>
    <col min="29" max="29" width="15.83203125" style="15" customWidth="1" collapsed="1"/>
    <col min="30" max="30" width="17.1640625" style="15" customWidth="1" collapsed="1"/>
    <col min="31" max="31" width="17.83203125" style="15" customWidth="1" collapsed="1"/>
    <col min="32" max="32" width="10.33203125" style="15" customWidth="1" collapsed="1"/>
    <col min="33" max="33" width="13.33203125" style="15" customWidth="1" collapsed="1"/>
    <col min="34" max="34" width="12.6640625" style="15" bestFit="1" customWidth="1" collapsed="1"/>
    <col min="35" max="35" width="8.83203125" style="15" collapsed="1"/>
    <col min="36" max="40" width="15.6640625" style="15" customWidth="1" collapsed="1"/>
    <col min="41" max="41" width="13.33203125" style="15" customWidth="1" collapsed="1"/>
    <col min="42" max="42" width="11.33203125" style="15" customWidth="1" collapsed="1"/>
    <col min="43" max="43" width="18.1640625" style="15" customWidth="1" collapsed="1"/>
    <col min="44" max="44" width="8.83203125" style="15" collapsed="1"/>
    <col min="45" max="53" width="17.1640625" style="15" customWidth="1" collapsed="1"/>
    <col min="54" max="54" width="18.1640625" style="15" customWidth="1" collapsed="1"/>
    <col min="55" max="55" width="20" style="15" customWidth="1" collapsed="1"/>
    <col min="56" max="56" width="22.1640625" style="15" customWidth="1" collapsed="1"/>
    <col min="57" max="57" width="21.5" style="15" customWidth="1" collapsed="1"/>
    <col min="58" max="60" width="8.83203125" style="15" collapsed="1"/>
    <col min="61" max="65" width="18.5" style="15" customWidth="1" collapsed="1"/>
    <col min="66" max="66" width="18.83203125" style="15" customWidth="1" collapsed="1"/>
    <col min="67" max="67" width="18.1640625" style="15" customWidth="1" collapsed="1"/>
    <col min="68" max="16384" width="8.83203125" style="15" collapsed="1"/>
  </cols>
  <sheetData>
    <row r="3" spans="2:68" s="60" customFormat="1" ht="36.5" customHeight="1" x14ac:dyDescent="0.2">
      <c r="B3" s="136" t="s">
        <v>2072</v>
      </c>
      <c r="C3" s="136"/>
      <c r="D3" s="60" t="s">
        <v>3</v>
      </c>
      <c r="F3" s="136" t="s">
        <v>2073</v>
      </c>
      <c r="G3" s="136"/>
      <c r="H3" s="60" t="s">
        <v>2027</v>
      </c>
      <c r="J3" s="136" t="s">
        <v>2074</v>
      </c>
      <c r="K3" s="136"/>
      <c r="L3" s="60" t="s">
        <v>4</v>
      </c>
      <c r="N3" s="136" t="s">
        <v>2075</v>
      </c>
      <c r="O3" s="136"/>
      <c r="P3" s="60" t="s">
        <v>7</v>
      </c>
      <c r="V3" s="136" t="s">
        <v>2076</v>
      </c>
      <c r="W3" s="136"/>
      <c r="X3" s="60" t="s">
        <v>11</v>
      </c>
      <c r="AA3" s="143" t="s">
        <v>2077</v>
      </c>
      <c r="AB3" s="143"/>
      <c r="AC3" s="143"/>
      <c r="AD3" s="143"/>
      <c r="AE3" s="143"/>
      <c r="AF3" s="143"/>
      <c r="AG3" s="143"/>
      <c r="AH3" s="60" t="s">
        <v>2040</v>
      </c>
      <c r="AJ3" s="143" t="s">
        <v>2078</v>
      </c>
      <c r="AK3" s="143"/>
      <c r="AL3" s="143"/>
      <c r="AM3" s="143"/>
      <c r="AN3" s="143"/>
      <c r="AO3" s="143"/>
      <c r="AP3" s="143"/>
      <c r="AQ3" s="60" t="s">
        <v>2041</v>
      </c>
      <c r="AS3" s="136" t="s">
        <v>2079</v>
      </c>
      <c r="AT3" s="131"/>
      <c r="AU3" s="131"/>
      <c r="AV3" s="131"/>
      <c r="AW3" s="131"/>
      <c r="AX3" s="131"/>
      <c r="AY3" s="131"/>
      <c r="AZ3" s="131"/>
      <c r="BA3" s="131"/>
      <c r="BB3" s="136"/>
      <c r="BC3" s="136"/>
      <c r="BD3" s="151"/>
      <c r="BE3" s="151"/>
      <c r="BF3" s="60" t="s">
        <v>2043</v>
      </c>
      <c r="BI3" s="143" t="s">
        <v>2080</v>
      </c>
      <c r="BJ3" s="143"/>
      <c r="BK3" s="143"/>
      <c r="BL3" s="143"/>
      <c r="BM3" s="143"/>
      <c r="BN3" s="143"/>
      <c r="BO3" s="143"/>
      <c r="BP3" s="60" t="s">
        <v>2042</v>
      </c>
    </row>
    <row r="4" spans="2:68" ht="14" x14ac:dyDescent="0.15">
      <c r="B4" s="57" t="s">
        <v>0</v>
      </c>
      <c r="C4" s="50" t="s">
        <v>2</v>
      </c>
      <c r="D4" s="7"/>
      <c r="E4" s="7"/>
      <c r="F4" s="57" t="s">
        <v>0</v>
      </c>
      <c r="G4" s="50" t="s">
        <v>2</v>
      </c>
      <c r="H4" s="7"/>
      <c r="I4" s="7"/>
      <c r="J4" s="61" t="s">
        <v>0</v>
      </c>
      <c r="K4" s="50" t="s">
        <v>2</v>
      </c>
      <c r="N4" s="57" t="s">
        <v>0</v>
      </c>
      <c r="O4" s="50" t="s">
        <v>2</v>
      </c>
      <c r="V4" s="57" t="s">
        <v>0</v>
      </c>
      <c r="W4" s="50" t="s">
        <v>2</v>
      </c>
      <c r="AA4" s="144" t="s">
        <v>0</v>
      </c>
      <c r="AB4" s="62">
        <v>0.04</v>
      </c>
      <c r="AC4" s="63">
        <v>6.25E-2</v>
      </c>
      <c r="AD4" s="64">
        <v>0.04</v>
      </c>
      <c r="AE4" s="63">
        <v>6.25E-2</v>
      </c>
      <c r="AF4" s="65">
        <v>0.04</v>
      </c>
      <c r="AG4" s="65">
        <v>6.25E-2</v>
      </c>
      <c r="AJ4" s="144" t="s">
        <v>0</v>
      </c>
      <c r="AK4" s="62">
        <v>0.04</v>
      </c>
      <c r="AL4" s="63">
        <v>6.25E-2</v>
      </c>
      <c r="AM4" s="64">
        <v>0.04</v>
      </c>
      <c r="AN4" s="63">
        <v>6.25E-2</v>
      </c>
      <c r="AO4" s="65">
        <v>0.04</v>
      </c>
      <c r="AP4" s="65">
        <v>6.25E-2</v>
      </c>
      <c r="AS4" s="155" t="s">
        <v>0</v>
      </c>
      <c r="AT4" s="152" t="s">
        <v>41</v>
      </c>
      <c r="AU4" s="153"/>
      <c r="AV4" s="153"/>
      <c r="AW4" s="154"/>
      <c r="AX4" s="152" t="s">
        <v>42</v>
      </c>
      <c r="AY4" s="153"/>
      <c r="AZ4" s="153"/>
      <c r="BA4" s="154"/>
      <c r="BB4" s="152" t="s">
        <v>43</v>
      </c>
      <c r="BC4" s="153"/>
      <c r="BD4" s="153"/>
      <c r="BE4" s="154"/>
      <c r="BI4" s="144" t="s">
        <v>0</v>
      </c>
      <c r="BJ4" s="62">
        <v>0.04</v>
      </c>
      <c r="BK4" s="63">
        <v>6.25E-2</v>
      </c>
      <c r="BL4" s="64">
        <v>0.04</v>
      </c>
      <c r="BM4" s="63">
        <v>6.25E-2</v>
      </c>
      <c r="BN4" s="65">
        <v>0.04</v>
      </c>
      <c r="BO4" s="65">
        <v>6.25E-2</v>
      </c>
    </row>
    <row r="5" spans="2:68" ht="14" x14ac:dyDescent="0.15">
      <c r="B5" s="51">
        <v>18</v>
      </c>
      <c r="C5" s="66">
        <v>0.6</v>
      </c>
      <c r="D5" s="56"/>
      <c r="E5" s="56"/>
      <c r="F5" s="51">
        <v>18</v>
      </c>
      <c r="G5" s="66">
        <v>0.72</v>
      </c>
      <c r="H5" s="56"/>
      <c r="I5" s="56"/>
      <c r="J5" s="58">
        <v>18</v>
      </c>
      <c r="K5" s="66">
        <v>0.36</v>
      </c>
      <c r="N5" s="51">
        <v>18</v>
      </c>
      <c r="O5" s="66">
        <v>3</v>
      </c>
      <c r="V5" s="51">
        <v>18</v>
      </c>
      <c r="W5" s="66">
        <v>0.96</v>
      </c>
      <c r="AA5" s="145"/>
      <c r="AB5" s="146" t="s">
        <v>41</v>
      </c>
      <c r="AC5" s="147"/>
      <c r="AD5" s="148" t="s">
        <v>42</v>
      </c>
      <c r="AE5" s="147"/>
      <c r="AF5" s="146" t="s">
        <v>43</v>
      </c>
      <c r="AG5" s="149"/>
      <c r="AJ5" s="145"/>
      <c r="AK5" s="146" t="s">
        <v>41</v>
      </c>
      <c r="AL5" s="147"/>
      <c r="AM5" s="148" t="s">
        <v>42</v>
      </c>
      <c r="AN5" s="147"/>
      <c r="AO5" s="146" t="s">
        <v>43</v>
      </c>
      <c r="AP5" s="149"/>
      <c r="AS5" s="156"/>
      <c r="AT5" s="150">
        <v>0.04</v>
      </c>
      <c r="AU5" s="142"/>
      <c r="AV5" s="141">
        <v>6.25E-2</v>
      </c>
      <c r="AW5" s="142"/>
      <c r="AX5" s="150">
        <v>0.04</v>
      </c>
      <c r="AY5" s="142"/>
      <c r="AZ5" s="141">
        <v>6.25E-2</v>
      </c>
      <c r="BA5" s="142"/>
      <c r="BB5" s="150">
        <v>0.04</v>
      </c>
      <c r="BC5" s="142"/>
      <c r="BD5" s="141">
        <v>6.25E-2</v>
      </c>
      <c r="BE5" s="142"/>
      <c r="BI5" s="145"/>
      <c r="BJ5" s="146" t="s">
        <v>41</v>
      </c>
      <c r="BK5" s="147"/>
      <c r="BL5" s="148" t="s">
        <v>42</v>
      </c>
      <c r="BM5" s="147"/>
      <c r="BN5" s="146" t="s">
        <v>43</v>
      </c>
      <c r="BO5" s="149"/>
    </row>
    <row r="6" spans="2:68" x14ac:dyDescent="0.15">
      <c r="B6" s="51">
        <v>19</v>
      </c>
      <c r="C6" s="66">
        <v>0.6</v>
      </c>
      <c r="D6" s="56"/>
      <c r="E6" s="56"/>
      <c r="F6" s="51">
        <v>19</v>
      </c>
      <c r="G6" s="66">
        <v>0.72</v>
      </c>
      <c r="H6" s="56"/>
      <c r="I6" s="56"/>
      <c r="J6" s="51">
        <v>19</v>
      </c>
      <c r="K6" s="66">
        <v>0.36</v>
      </c>
      <c r="N6" s="51">
        <f t="shared" ref="N6:N37" si="0">1+N5</f>
        <v>19</v>
      </c>
      <c r="O6" s="66">
        <v>3.12</v>
      </c>
      <c r="V6" s="51">
        <v>19</v>
      </c>
      <c r="W6" s="66">
        <v>0.96</v>
      </c>
      <c r="AA6" s="51">
        <v>18</v>
      </c>
      <c r="AB6" s="68">
        <v>0.24</v>
      </c>
      <c r="AC6" s="69">
        <v>0.36</v>
      </c>
      <c r="AD6" s="70">
        <v>0.24</v>
      </c>
      <c r="AE6" s="69">
        <v>0.36</v>
      </c>
      <c r="AF6" s="71">
        <v>0.24</v>
      </c>
      <c r="AG6" s="71">
        <v>0.36</v>
      </c>
      <c r="AJ6" s="51">
        <v>18</v>
      </c>
      <c r="AK6" s="68">
        <v>0.48</v>
      </c>
      <c r="AL6" s="69">
        <v>0.6</v>
      </c>
      <c r="AM6" s="70">
        <v>0.36</v>
      </c>
      <c r="AN6" s="69">
        <v>0.48</v>
      </c>
      <c r="AO6" s="71">
        <v>0.36</v>
      </c>
      <c r="AP6" s="71">
        <v>0.48</v>
      </c>
      <c r="AS6" s="157"/>
      <c r="AT6" s="67">
        <v>0.25</v>
      </c>
      <c r="AU6" s="67">
        <v>0.5</v>
      </c>
      <c r="AV6" s="67">
        <v>0.25</v>
      </c>
      <c r="AW6" s="67">
        <v>0.5</v>
      </c>
      <c r="AX6" s="67">
        <v>0.25</v>
      </c>
      <c r="AY6" s="67">
        <v>0.5</v>
      </c>
      <c r="AZ6" s="67">
        <v>0.25</v>
      </c>
      <c r="BA6" s="67">
        <v>0.5</v>
      </c>
      <c r="BB6" s="67">
        <v>0.25</v>
      </c>
      <c r="BC6" s="67">
        <v>0.5</v>
      </c>
      <c r="BD6" s="67">
        <v>0.25</v>
      </c>
      <c r="BE6" s="67">
        <v>0.5</v>
      </c>
      <c r="BI6" s="51">
        <v>18</v>
      </c>
      <c r="BJ6" s="68">
        <v>0.48</v>
      </c>
      <c r="BK6" s="69">
        <v>0.72</v>
      </c>
      <c r="BL6" s="70">
        <v>0.48</v>
      </c>
      <c r="BM6" s="69">
        <v>0.6</v>
      </c>
      <c r="BN6" s="71">
        <v>0.48</v>
      </c>
      <c r="BO6" s="71">
        <v>0.72</v>
      </c>
    </row>
    <row r="7" spans="2:68" ht="13.75" customHeight="1" x14ac:dyDescent="0.15">
      <c r="B7" s="51">
        <v>20</v>
      </c>
      <c r="C7" s="66">
        <v>0.6</v>
      </c>
      <c r="D7" s="56"/>
      <c r="E7" s="56"/>
      <c r="F7" s="51">
        <v>20</v>
      </c>
      <c r="G7" s="66">
        <v>0.72</v>
      </c>
      <c r="H7" s="56"/>
      <c r="I7" s="56"/>
      <c r="J7" s="51">
        <v>20</v>
      </c>
      <c r="K7" s="66">
        <v>0.36</v>
      </c>
      <c r="N7" s="51">
        <f t="shared" si="0"/>
        <v>20</v>
      </c>
      <c r="O7" s="66">
        <v>3.12</v>
      </c>
      <c r="V7" s="51">
        <v>20</v>
      </c>
      <c r="W7" s="66">
        <v>0.96</v>
      </c>
      <c r="AA7" s="51">
        <v>19</v>
      </c>
      <c r="AB7" s="68">
        <v>0.24</v>
      </c>
      <c r="AC7" s="69">
        <v>0.36</v>
      </c>
      <c r="AD7" s="70">
        <v>0.24</v>
      </c>
      <c r="AE7" s="69">
        <v>0.36</v>
      </c>
      <c r="AF7" s="71">
        <v>0.24</v>
      </c>
      <c r="AG7" s="71">
        <v>0.36</v>
      </c>
      <c r="AJ7" s="51">
        <v>19</v>
      </c>
      <c r="AK7" s="68">
        <v>0.48</v>
      </c>
      <c r="AL7" s="69">
        <v>0.6</v>
      </c>
      <c r="AM7" s="70">
        <v>0.36</v>
      </c>
      <c r="AN7" s="69">
        <v>0.48</v>
      </c>
      <c r="AO7" s="71">
        <v>0.36</v>
      </c>
      <c r="AP7" s="71">
        <v>0.48</v>
      </c>
      <c r="AS7" s="51">
        <v>18</v>
      </c>
      <c r="AT7" s="72">
        <v>0.12</v>
      </c>
      <c r="AU7" s="72">
        <v>0.12</v>
      </c>
      <c r="AV7" s="72">
        <v>0.12</v>
      </c>
      <c r="AW7" s="72">
        <v>0.24</v>
      </c>
      <c r="AX7" s="73">
        <v>0.12</v>
      </c>
      <c r="AY7" s="74">
        <v>0.12</v>
      </c>
      <c r="AZ7" s="74">
        <v>0.12</v>
      </c>
      <c r="BA7" s="75">
        <v>0.12</v>
      </c>
      <c r="BB7" s="66">
        <v>0.12</v>
      </c>
      <c r="BC7" s="66">
        <v>0.12</v>
      </c>
      <c r="BD7" s="66">
        <v>0.12</v>
      </c>
      <c r="BE7" s="66">
        <v>0.12</v>
      </c>
      <c r="BI7" s="51">
        <v>19</v>
      </c>
      <c r="BJ7" s="68">
        <v>0.48</v>
      </c>
      <c r="BK7" s="69">
        <v>0.72</v>
      </c>
      <c r="BL7" s="70">
        <v>0.48</v>
      </c>
      <c r="BM7" s="69">
        <v>0.6</v>
      </c>
      <c r="BN7" s="71">
        <v>0.48</v>
      </c>
      <c r="BO7" s="71">
        <v>0.72</v>
      </c>
    </row>
    <row r="8" spans="2:68" x14ac:dyDescent="0.15">
      <c r="B8" s="51">
        <v>21</v>
      </c>
      <c r="C8" s="66">
        <v>0.6</v>
      </c>
      <c r="D8" s="56"/>
      <c r="E8" s="56"/>
      <c r="F8" s="51">
        <v>21</v>
      </c>
      <c r="G8" s="66">
        <v>0.72</v>
      </c>
      <c r="H8" s="56"/>
      <c r="I8" s="56"/>
      <c r="J8" s="51">
        <v>21</v>
      </c>
      <c r="K8" s="66">
        <v>0.36</v>
      </c>
      <c r="N8" s="51">
        <f t="shared" si="0"/>
        <v>21</v>
      </c>
      <c r="O8" s="66">
        <v>3.2399999999999998</v>
      </c>
      <c r="V8" s="51">
        <v>21</v>
      </c>
      <c r="W8" s="66">
        <v>0.96</v>
      </c>
      <c r="AA8" s="51">
        <v>20</v>
      </c>
      <c r="AB8" s="68">
        <v>0.24</v>
      </c>
      <c r="AC8" s="69">
        <v>0.36</v>
      </c>
      <c r="AD8" s="70">
        <v>0.24</v>
      </c>
      <c r="AE8" s="69">
        <v>0.36</v>
      </c>
      <c r="AF8" s="71">
        <v>0.24</v>
      </c>
      <c r="AG8" s="71">
        <v>0.36</v>
      </c>
      <c r="AJ8" s="51">
        <v>20</v>
      </c>
      <c r="AK8" s="68">
        <v>0.48</v>
      </c>
      <c r="AL8" s="69">
        <v>0.6</v>
      </c>
      <c r="AM8" s="70">
        <v>0.36</v>
      </c>
      <c r="AN8" s="69">
        <v>0.48</v>
      </c>
      <c r="AO8" s="71">
        <v>0.36</v>
      </c>
      <c r="AP8" s="71">
        <v>0.48</v>
      </c>
      <c r="AS8" s="51">
        <v>19</v>
      </c>
      <c r="AT8" s="72">
        <v>0.12</v>
      </c>
      <c r="AU8" s="72">
        <v>0.12</v>
      </c>
      <c r="AV8" s="72">
        <v>0.12</v>
      </c>
      <c r="AW8" s="72">
        <v>0.24</v>
      </c>
      <c r="AX8" s="76">
        <v>0.12</v>
      </c>
      <c r="AY8" s="72">
        <v>0.12</v>
      </c>
      <c r="AZ8" s="72">
        <v>0.12</v>
      </c>
      <c r="BA8" s="77">
        <v>0.12</v>
      </c>
      <c r="BB8" s="66">
        <v>0.12</v>
      </c>
      <c r="BC8" s="66">
        <v>0.12</v>
      </c>
      <c r="BD8" s="66">
        <v>0.12</v>
      </c>
      <c r="BE8" s="66">
        <v>0.12</v>
      </c>
      <c r="BI8" s="51">
        <v>20</v>
      </c>
      <c r="BJ8" s="68">
        <v>0.48</v>
      </c>
      <c r="BK8" s="69">
        <v>0.72</v>
      </c>
      <c r="BL8" s="70">
        <v>0.48</v>
      </c>
      <c r="BM8" s="69">
        <v>0.6</v>
      </c>
      <c r="BN8" s="71">
        <v>0.48</v>
      </c>
      <c r="BO8" s="71">
        <v>0.72</v>
      </c>
    </row>
    <row r="9" spans="2:68" x14ac:dyDescent="0.15">
      <c r="B9" s="51">
        <v>22</v>
      </c>
      <c r="C9" s="66">
        <v>0.6</v>
      </c>
      <c r="D9" s="56"/>
      <c r="E9" s="56"/>
      <c r="F9" s="51">
        <v>22</v>
      </c>
      <c r="G9" s="66">
        <v>0.72</v>
      </c>
      <c r="H9" s="56"/>
      <c r="I9" s="56"/>
      <c r="J9" s="51">
        <v>22</v>
      </c>
      <c r="K9" s="66">
        <v>0.36</v>
      </c>
      <c r="N9" s="51">
        <f t="shared" si="0"/>
        <v>22</v>
      </c>
      <c r="O9" s="66">
        <v>3.2399999999999998</v>
      </c>
      <c r="V9" s="51">
        <v>22</v>
      </c>
      <c r="W9" s="66">
        <v>0.96</v>
      </c>
      <c r="AA9" s="51">
        <v>21</v>
      </c>
      <c r="AB9" s="68">
        <v>0.24</v>
      </c>
      <c r="AC9" s="69">
        <v>0.36</v>
      </c>
      <c r="AD9" s="70">
        <v>0.24</v>
      </c>
      <c r="AE9" s="69">
        <v>0.36</v>
      </c>
      <c r="AF9" s="71">
        <v>0.24</v>
      </c>
      <c r="AG9" s="71">
        <v>0.36</v>
      </c>
      <c r="AJ9" s="51">
        <v>21</v>
      </c>
      <c r="AK9" s="68">
        <v>0.48</v>
      </c>
      <c r="AL9" s="69">
        <v>0.6</v>
      </c>
      <c r="AM9" s="70">
        <v>0.36</v>
      </c>
      <c r="AN9" s="69">
        <v>0.48</v>
      </c>
      <c r="AO9" s="71">
        <v>0.36</v>
      </c>
      <c r="AP9" s="71">
        <v>0.6</v>
      </c>
      <c r="AS9" s="51">
        <v>20</v>
      </c>
      <c r="AT9" s="72">
        <v>0.12</v>
      </c>
      <c r="AU9" s="72">
        <v>0.12</v>
      </c>
      <c r="AV9" s="72">
        <v>0.12</v>
      </c>
      <c r="AW9" s="72">
        <v>0.24</v>
      </c>
      <c r="AX9" s="76">
        <v>0.12</v>
      </c>
      <c r="AY9" s="72">
        <v>0.12</v>
      </c>
      <c r="AZ9" s="72">
        <v>0.12</v>
      </c>
      <c r="BA9" s="77">
        <v>0.12</v>
      </c>
      <c r="BB9" s="66">
        <v>0.12</v>
      </c>
      <c r="BC9" s="66">
        <v>0.12</v>
      </c>
      <c r="BD9" s="66">
        <v>0.12</v>
      </c>
      <c r="BE9" s="66">
        <v>0.12</v>
      </c>
      <c r="BI9" s="51">
        <v>21</v>
      </c>
      <c r="BJ9" s="68">
        <v>0.6</v>
      </c>
      <c r="BK9" s="69">
        <v>0.72</v>
      </c>
      <c r="BL9" s="70">
        <v>0.48</v>
      </c>
      <c r="BM9" s="69">
        <v>0.72</v>
      </c>
      <c r="BN9" s="71">
        <v>0.48</v>
      </c>
      <c r="BO9" s="71">
        <v>0.72</v>
      </c>
    </row>
    <row r="10" spans="2:68" x14ac:dyDescent="0.15">
      <c r="B10" s="51">
        <v>23</v>
      </c>
      <c r="C10" s="66">
        <v>0.6</v>
      </c>
      <c r="D10" s="56"/>
      <c r="E10" s="56"/>
      <c r="F10" s="51">
        <v>23</v>
      </c>
      <c r="G10" s="66">
        <v>0.72</v>
      </c>
      <c r="H10" s="56"/>
      <c r="I10" s="56"/>
      <c r="J10" s="51">
        <v>23</v>
      </c>
      <c r="K10" s="66">
        <v>0.36</v>
      </c>
      <c r="N10" s="51">
        <f t="shared" si="0"/>
        <v>23</v>
      </c>
      <c r="O10" s="66">
        <v>3.2399999999999998</v>
      </c>
      <c r="V10" s="51">
        <v>23</v>
      </c>
      <c r="W10" s="66">
        <v>0.96</v>
      </c>
      <c r="AA10" s="51">
        <v>22</v>
      </c>
      <c r="AB10" s="68">
        <v>0.36</v>
      </c>
      <c r="AC10" s="69">
        <v>0.36</v>
      </c>
      <c r="AD10" s="70">
        <v>0.24</v>
      </c>
      <c r="AE10" s="69">
        <v>0.36</v>
      </c>
      <c r="AF10" s="71">
        <v>0.24</v>
      </c>
      <c r="AG10" s="71">
        <v>0.36</v>
      </c>
      <c r="AJ10" s="51">
        <v>22</v>
      </c>
      <c r="AK10" s="68">
        <v>0.48</v>
      </c>
      <c r="AL10" s="69">
        <v>0.6</v>
      </c>
      <c r="AM10" s="70">
        <v>0.36</v>
      </c>
      <c r="AN10" s="69">
        <v>0.6</v>
      </c>
      <c r="AO10" s="71">
        <v>0.36</v>
      </c>
      <c r="AP10" s="71">
        <v>0.6</v>
      </c>
      <c r="AS10" s="51">
        <v>21</v>
      </c>
      <c r="AT10" s="72">
        <v>0.12</v>
      </c>
      <c r="AU10" s="72">
        <v>0.12</v>
      </c>
      <c r="AV10" s="72">
        <v>0.12</v>
      </c>
      <c r="AW10" s="72">
        <v>0.24</v>
      </c>
      <c r="AX10" s="76">
        <v>0.12</v>
      </c>
      <c r="AY10" s="72">
        <v>0.12</v>
      </c>
      <c r="AZ10" s="72">
        <v>0.12</v>
      </c>
      <c r="BA10" s="77">
        <v>0.12</v>
      </c>
      <c r="BB10" s="66">
        <v>0.12</v>
      </c>
      <c r="BC10" s="66">
        <v>0.12</v>
      </c>
      <c r="BD10" s="66">
        <v>0.12</v>
      </c>
      <c r="BE10" s="66">
        <v>0.12</v>
      </c>
      <c r="BI10" s="51">
        <v>22</v>
      </c>
      <c r="BJ10" s="68">
        <v>0.6</v>
      </c>
      <c r="BK10" s="69">
        <v>0.84</v>
      </c>
      <c r="BL10" s="70">
        <v>0.48</v>
      </c>
      <c r="BM10" s="69">
        <v>0.72</v>
      </c>
      <c r="BN10" s="71">
        <v>0.48</v>
      </c>
      <c r="BO10" s="71">
        <v>0.72</v>
      </c>
    </row>
    <row r="11" spans="2:68" x14ac:dyDescent="0.15">
      <c r="B11" s="51">
        <v>24</v>
      </c>
      <c r="C11" s="66">
        <v>0.6</v>
      </c>
      <c r="D11" s="56"/>
      <c r="E11" s="56"/>
      <c r="F11" s="51">
        <v>24</v>
      </c>
      <c r="G11" s="66">
        <v>0.72</v>
      </c>
      <c r="H11" s="56"/>
      <c r="I11" s="56"/>
      <c r="J11" s="51">
        <v>24</v>
      </c>
      <c r="K11" s="66">
        <v>0.36</v>
      </c>
      <c r="N11" s="51">
        <f t="shared" si="0"/>
        <v>24</v>
      </c>
      <c r="O11" s="66">
        <v>3.36</v>
      </c>
      <c r="V11" s="51">
        <v>24</v>
      </c>
      <c r="W11" s="66">
        <v>0.96</v>
      </c>
      <c r="AA11" s="51">
        <v>23</v>
      </c>
      <c r="AB11" s="68">
        <v>0.36</v>
      </c>
      <c r="AC11" s="69">
        <v>0.36</v>
      </c>
      <c r="AD11" s="70">
        <v>0.24</v>
      </c>
      <c r="AE11" s="69">
        <v>0.36</v>
      </c>
      <c r="AF11" s="71">
        <v>0.24</v>
      </c>
      <c r="AG11" s="71">
        <v>0.36</v>
      </c>
      <c r="AJ11" s="51">
        <v>23</v>
      </c>
      <c r="AK11" s="68">
        <v>0.48</v>
      </c>
      <c r="AL11" s="69">
        <v>0.72</v>
      </c>
      <c r="AM11" s="70">
        <v>0.36</v>
      </c>
      <c r="AN11" s="69">
        <v>0.6</v>
      </c>
      <c r="AO11" s="71">
        <v>0.48</v>
      </c>
      <c r="AP11" s="71">
        <v>0.6</v>
      </c>
      <c r="AS11" s="51">
        <v>22</v>
      </c>
      <c r="AT11" s="72">
        <v>0.12</v>
      </c>
      <c r="AU11" s="72">
        <v>0.12</v>
      </c>
      <c r="AV11" s="72">
        <v>0.12</v>
      </c>
      <c r="AW11" s="72">
        <v>0.24</v>
      </c>
      <c r="AX11" s="76">
        <v>0.12</v>
      </c>
      <c r="AY11" s="72">
        <v>0.12</v>
      </c>
      <c r="AZ11" s="72">
        <v>0.12</v>
      </c>
      <c r="BA11" s="77">
        <v>0.24</v>
      </c>
      <c r="BB11" s="66">
        <v>0.12</v>
      </c>
      <c r="BC11" s="66">
        <v>0.12</v>
      </c>
      <c r="BD11" s="66">
        <v>0.12</v>
      </c>
      <c r="BE11" s="66">
        <v>0.24</v>
      </c>
      <c r="BI11" s="51">
        <v>23</v>
      </c>
      <c r="BJ11" s="68">
        <v>0.6</v>
      </c>
      <c r="BK11" s="69">
        <v>0.84</v>
      </c>
      <c r="BL11" s="70">
        <v>0.48</v>
      </c>
      <c r="BM11" s="69">
        <v>0.72</v>
      </c>
      <c r="BN11" s="71">
        <v>0.6</v>
      </c>
      <c r="BO11" s="71">
        <v>0.72</v>
      </c>
    </row>
    <row r="12" spans="2:68" x14ac:dyDescent="0.15">
      <c r="B12" s="51">
        <v>25</v>
      </c>
      <c r="C12" s="66">
        <v>0.6</v>
      </c>
      <c r="D12" s="56"/>
      <c r="E12" s="56"/>
      <c r="F12" s="51">
        <v>25</v>
      </c>
      <c r="G12" s="66">
        <v>0.72</v>
      </c>
      <c r="H12" s="56"/>
      <c r="I12" s="56"/>
      <c r="J12" s="51">
        <v>25</v>
      </c>
      <c r="K12" s="66">
        <v>0.36</v>
      </c>
      <c r="N12" s="51">
        <f t="shared" si="0"/>
        <v>25</v>
      </c>
      <c r="O12" s="66">
        <v>3.36</v>
      </c>
      <c r="V12" s="51">
        <v>25</v>
      </c>
      <c r="W12" s="66">
        <v>0.96</v>
      </c>
      <c r="AA12" s="51">
        <v>24</v>
      </c>
      <c r="AB12" s="68">
        <v>0.36</v>
      </c>
      <c r="AC12" s="69">
        <v>0.48</v>
      </c>
      <c r="AD12" s="70">
        <v>0.24</v>
      </c>
      <c r="AE12" s="69">
        <v>0.36</v>
      </c>
      <c r="AF12" s="71">
        <v>0.36</v>
      </c>
      <c r="AG12" s="71">
        <v>0.36</v>
      </c>
      <c r="AJ12" s="51">
        <v>24</v>
      </c>
      <c r="AK12" s="68">
        <v>0.48</v>
      </c>
      <c r="AL12" s="69">
        <v>0.72</v>
      </c>
      <c r="AM12" s="70">
        <v>0.48</v>
      </c>
      <c r="AN12" s="69">
        <v>0.6</v>
      </c>
      <c r="AO12" s="71">
        <v>0.48</v>
      </c>
      <c r="AP12" s="71">
        <v>0.6</v>
      </c>
      <c r="AS12" s="51">
        <v>23</v>
      </c>
      <c r="AT12" s="72">
        <v>0.12</v>
      </c>
      <c r="AU12" s="72">
        <v>0.12</v>
      </c>
      <c r="AV12" s="72">
        <v>0.12</v>
      </c>
      <c r="AW12" s="72">
        <v>0.24</v>
      </c>
      <c r="AX12" s="76">
        <v>0.12</v>
      </c>
      <c r="AY12" s="72">
        <v>0.12</v>
      </c>
      <c r="AZ12" s="72">
        <v>0.12</v>
      </c>
      <c r="BA12" s="77">
        <v>0.24</v>
      </c>
      <c r="BB12" s="66">
        <v>0.12</v>
      </c>
      <c r="BC12" s="66">
        <v>0.12</v>
      </c>
      <c r="BD12" s="66">
        <v>0.12</v>
      </c>
      <c r="BE12" s="66">
        <v>0.24</v>
      </c>
      <c r="BI12" s="51">
        <v>24</v>
      </c>
      <c r="BJ12" s="68">
        <v>0.72</v>
      </c>
      <c r="BK12" s="69">
        <v>0.96</v>
      </c>
      <c r="BL12" s="70">
        <v>0.6</v>
      </c>
      <c r="BM12" s="69">
        <v>0.72</v>
      </c>
      <c r="BN12" s="71">
        <v>0.6</v>
      </c>
      <c r="BO12" s="71">
        <v>0.84</v>
      </c>
    </row>
    <row r="13" spans="2:68" x14ac:dyDescent="0.15">
      <c r="B13" s="51">
        <v>26</v>
      </c>
      <c r="C13" s="66">
        <v>0.6</v>
      </c>
      <c r="D13" s="56"/>
      <c r="E13" s="56"/>
      <c r="F13" s="51">
        <v>26</v>
      </c>
      <c r="G13" s="66">
        <v>0.72</v>
      </c>
      <c r="H13" s="56"/>
      <c r="I13" s="56"/>
      <c r="J13" s="51">
        <v>26</v>
      </c>
      <c r="K13" s="66">
        <v>0.36</v>
      </c>
      <c r="N13" s="51">
        <f t="shared" si="0"/>
        <v>26</v>
      </c>
      <c r="O13" s="66">
        <v>3.36</v>
      </c>
      <c r="V13" s="51">
        <v>26</v>
      </c>
      <c r="W13" s="66">
        <v>0.96</v>
      </c>
      <c r="AA13" s="51">
        <v>25</v>
      </c>
      <c r="AB13" s="68">
        <v>0.36</v>
      </c>
      <c r="AC13" s="69">
        <v>0.48</v>
      </c>
      <c r="AD13" s="70">
        <v>0.24</v>
      </c>
      <c r="AE13" s="69">
        <v>0.36</v>
      </c>
      <c r="AF13" s="71">
        <v>0.36</v>
      </c>
      <c r="AG13" s="71">
        <v>0.36</v>
      </c>
      <c r="AJ13" s="51">
        <v>25</v>
      </c>
      <c r="AK13" s="68">
        <v>0.48</v>
      </c>
      <c r="AL13" s="69">
        <v>0.72</v>
      </c>
      <c r="AM13" s="70">
        <v>0.48</v>
      </c>
      <c r="AN13" s="69">
        <v>0.6</v>
      </c>
      <c r="AO13" s="71">
        <v>0.48</v>
      </c>
      <c r="AP13" s="71">
        <v>0.6</v>
      </c>
      <c r="AS13" s="51">
        <v>24</v>
      </c>
      <c r="AT13" s="72">
        <v>0.12</v>
      </c>
      <c r="AU13" s="72">
        <v>0.24</v>
      </c>
      <c r="AV13" s="72">
        <v>0.12</v>
      </c>
      <c r="AW13" s="72">
        <v>0.24</v>
      </c>
      <c r="AX13" s="76">
        <v>0.12</v>
      </c>
      <c r="AY13" s="72">
        <v>0.12</v>
      </c>
      <c r="AZ13" s="72">
        <v>0.12</v>
      </c>
      <c r="BA13" s="77">
        <v>0.24</v>
      </c>
      <c r="BB13" s="66">
        <v>0.12</v>
      </c>
      <c r="BC13" s="66">
        <v>0.12</v>
      </c>
      <c r="BD13" s="66">
        <v>0.12</v>
      </c>
      <c r="BE13" s="66">
        <v>0.24</v>
      </c>
      <c r="BI13" s="51">
        <v>25</v>
      </c>
      <c r="BJ13" s="68">
        <v>0.72</v>
      </c>
      <c r="BK13" s="69">
        <v>0.96</v>
      </c>
      <c r="BL13" s="70">
        <v>0.6</v>
      </c>
      <c r="BM13" s="69">
        <v>0.84</v>
      </c>
      <c r="BN13" s="71">
        <v>0.6</v>
      </c>
      <c r="BO13" s="71">
        <v>0.84</v>
      </c>
    </row>
    <row r="14" spans="2:68" x14ac:dyDescent="0.15">
      <c r="B14" s="51">
        <v>27</v>
      </c>
      <c r="C14" s="66">
        <v>0.6</v>
      </c>
      <c r="D14" s="56"/>
      <c r="E14" s="56"/>
      <c r="F14" s="51">
        <v>27</v>
      </c>
      <c r="G14" s="66">
        <v>0.72</v>
      </c>
      <c r="H14" s="56"/>
      <c r="I14" s="56"/>
      <c r="J14" s="51">
        <v>27</v>
      </c>
      <c r="K14" s="66">
        <v>0.36</v>
      </c>
      <c r="N14" s="51">
        <f t="shared" si="0"/>
        <v>27</v>
      </c>
      <c r="O14" s="66">
        <v>3.48</v>
      </c>
      <c r="V14" s="51">
        <v>27</v>
      </c>
      <c r="W14" s="66">
        <v>0.96</v>
      </c>
      <c r="AA14" s="51">
        <v>26</v>
      </c>
      <c r="AB14" s="68">
        <v>0.36</v>
      </c>
      <c r="AC14" s="69">
        <v>0.48</v>
      </c>
      <c r="AD14" s="70">
        <v>0.36</v>
      </c>
      <c r="AE14" s="69">
        <v>0.36</v>
      </c>
      <c r="AF14" s="71">
        <v>0.36</v>
      </c>
      <c r="AG14" s="71">
        <v>0.36</v>
      </c>
      <c r="AJ14" s="51">
        <v>26</v>
      </c>
      <c r="AK14" s="68">
        <v>0.6</v>
      </c>
      <c r="AL14" s="69">
        <v>0.72</v>
      </c>
      <c r="AM14" s="70">
        <v>0.48</v>
      </c>
      <c r="AN14" s="69">
        <v>0.6</v>
      </c>
      <c r="AO14" s="71">
        <v>0.48</v>
      </c>
      <c r="AP14" s="71">
        <v>0.72</v>
      </c>
      <c r="AS14" s="51">
        <v>25</v>
      </c>
      <c r="AT14" s="72">
        <v>0.12</v>
      </c>
      <c r="AU14" s="72">
        <v>0.24</v>
      </c>
      <c r="AV14" s="72">
        <v>0.12</v>
      </c>
      <c r="AW14" s="72">
        <v>0.24</v>
      </c>
      <c r="AX14" s="76">
        <v>0.12</v>
      </c>
      <c r="AY14" s="72">
        <v>0.12</v>
      </c>
      <c r="AZ14" s="72">
        <v>0.12</v>
      </c>
      <c r="BA14" s="77">
        <v>0.24</v>
      </c>
      <c r="BB14" s="66">
        <v>0.12</v>
      </c>
      <c r="BC14" s="66">
        <v>0.12</v>
      </c>
      <c r="BD14" s="66">
        <v>0.12</v>
      </c>
      <c r="BE14" s="66">
        <v>0.24</v>
      </c>
      <c r="BI14" s="51">
        <v>26</v>
      </c>
      <c r="BJ14" s="68">
        <v>0.72</v>
      </c>
      <c r="BK14" s="69">
        <v>0.96</v>
      </c>
      <c r="BL14" s="70">
        <v>0.6</v>
      </c>
      <c r="BM14" s="69">
        <v>0.84</v>
      </c>
      <c r="BN14" s="71">
        <v>0.6</v>
      </c>
      <c r="BO14" s="71">
        <v>0.84</v>
      </c>
    </row>
    <row r="15" spans="2:68" x14ac:dyDescent="0.15">
      <c r="B15" s="51">
        <v>28</v>
      </c>
      <c r="C15" s="66">
        <v>0.6</v>
      </c>
      <c r="D15" s="56"/>
      <c r="E15" s="56"/>
      <c r="F15" s="51">
        <v>28</v>
      </c>
      <c r="G15" s="66">
        <v>0.72</v>
      </c>
      <c r="H15" s="56"/>
      <c r="I15" s="56"/>
      <c r="J15" s="51">
        <v>28</v>
      </c>
      <c r="K15" s="66">
        <v>0.36</v>
      </c>
      <c r="N15" s="51">
        <f t="shared" si="0"/>
        <v>28</v>
      </c>
      <c r="O15" s="66">
        <v>3.48</v>
      </c>
      <c r="V15" s="51">
        <v>28</v>
      </c>
      <c r="W15" s="66">
        <v>0.96</v>
      </c>
      <c r="AA15" s="51">
        <v>27</v>
      </c>
      <c r="AB15" s="68">
        <v>0.36</v>
      </c>
      <c r="AC15" s="69">
        <v>0.48</v>
      </c>
      <c r="AD15" s="70">
        <v>0.36</v>
      </c>
      <c r="AE15" s="69">
        <v>0.36</v>
      </c>
      <c r="AF15" s="71">
        <v>0.36</v>
      </c>
      <c r="AG15" s="71">
        <v>0.48</v>
      </c>
      <c r="AJ15" s="51">
        <v>27</v>
      </c>
      <c r="AK15" s="68">
        <v>0.6</v>
      </c>
      <c r="AL15" s="69">
        <v>0.84</v>
      </c>
      <c r="AM15" s="70">
        <v>0.48</v>
      </c>
      <c r="AN15" s="69">
        <v>0.72</v>
      </c>
      <c r="AO15" s="71">
        <v>0.48</v>
      </c>
      <c r="AP15" s="71">
        <v>0.72</v>
      </c>
      <c r="AS15" s="51">
        <v>26</v>
      </c>
      <c r="AT15" s="72">
        <v>0.12</v>
      </c>
      <c r="AU15" s="72">
        <v>0.24</v>
      </c>
      <c r="AV15" s="72">
        <v>0.12</v>
      </c>
      <c r="AW15" s="72">
        <v>0.24</v>
      </c>
      <c r="AX15" s="76">
        <v>0.12</v>
      </c>
      <c r="AY15" s="72">
        <v>0.12</v>
      </c>
      <c r="AZ15" s="72">
        <v>0.12</v>
      </c>
      <c r="BA15" s="77">
        <v>0.24</v>
      </c>
      <c r="BB15" s="66">
        <v>0.12</v>
      </c>
      <c r="BC15" s="66">
        <v>0.12</v>
      </c>
      <c r="BD15" s="66">
        <v>0.12</v>
      </c>
      <c r="BE15" s="66">
        <v>0.24</v>
      </c>
      <c r="BI15" s="51">
        <v>27</v>
      </c>
      <c r="BJ15" s="68">
        <v>0.72</v>
      </c>
      <c r="BK15" s="69">
        <v>1.08</v>
      </c>
      <c r="BL15" s="70">
        <v>0.6</v>
      </c>
      <c r="BM15" s="69">
        <v>0.84</v>
      </c>
      <c r="BN15" s="71">
        <v>0.6</v>
      </c>
      <c r="BO15" s="71">
        <v>0.84</v>
      </c>
    </row>
    <row r="16" spans="2:68" x14ac:dyDescent="0.15">
      <c r="B16" s="51">
        <v>29</v>
      </c>
      <c r="C16" s="66">
        <v>0.6</v>
      </c>
      <c r="D16" s="56"/>
      <c r="E16" s="56"/>
      <c r="F16" s="51">
        <v>29</v>
      </c>
      <c r="G16" s="66">
        <v>0.72</v>
      </c>
      <c r="H16" s="56"/>
      <c r="I16" s="56"/>
      <c r="J16" s="51">
        <v>29</v>
      </c>
      <c r="K16" s="66">
        <v>0.36</v>
      </c>
      <c r="N16" s="51">
        <f t="shared" si="0"/>
        <v>29</v>
      </c>
      <c r="O16" s="66">
        <v>3.7199999999999998</v>
      </c>
      <c r="V16" s="51">
        <v>29</v>
      </c>
      <c r="W16" s="66">
        <v>0.96</v>
      </c>
      <c r="AA16" s="51">
        <v>28</v>
      </c>
      <c r="AB16" s="68">
        <v>0.36</v>
      </c>
      <c r="AC16" s="69">
        <v>0.48</v>
      </c>
      <c r="AD16" s="70">
        <v>0.36</v>
      </c>
      <c r="AE16" s="69">
        <v>0.48</v>
      </c>
      <c r="AF16" s="71">
        <v>0.36</v>
      </c>
      <c r="AG16" s="71">
        <v>0.48</v>
      </c>
      <c r="AJ16" s="51">
        <v>28</v>
      </c>
      <c r="AK16" s="68">
        <v>0.6</v>
      </c>
      <c r="AL16" s="69">
        <v>0.84</v>
      </c>
      <c r="AM16" s="70">
        <v>0.48</v>
      </c>
      <c r="AN16" s="69">
        <v>0.72</v>
      </c>
      <c r="AO16" s="71">
        <v>0.48</v>
      </c>
      <c r="AP16" s="71">
        <v>0.72</v>
      </c>
      <c r="AS16" s="51">
        <v>27</v>
      </c>
      <c r="AT16" s="72">
        <v>0.12</v>
      </c>
      <c r="AU16" s="72">
        <v>0.24</v>
      </c>
      <c r="AV16" s="72">
        <v>0.12</v>
      </c>
      <c r="AW16" s="72">
        <v>0.24</v>
      </c>
      <c r="AX16" s="76">
        <v>0.12</v>
      </c>
      <c r="AY16" s="72">
        <v>0.12</v>
      </c>
      <c r="AZ16" s="72">
        <v>0.12</v>
      </c>
      <c r="BA16" s="77">
        <v>0.24</v>
      </c>
      <c r="BB16" s="66">
        <v>0.12</v>
      </c>
      <c r="BC16" s="66">
        <v>0.24</v>
      </c>
      <c r="BD16" s="66">
        <v>0.12</v>
      </c>
      <c r="BE16" s="66">
        <v>0.24</v>
      </c>
      <c r="BI16" s="51">
        <v>28</v>
      </c>
      <c r="BJ16" s="68">
        <v>0.84</v>
      </c>
      <c r="BK16" s="69">
        <v>1.08</v>
      </c>
      <c r="BL16" s="70">
        <v>0.6</v>
      </c>
      <c r="BM16" s="69">
        <v>0.96</v>
      </c>
      <c r="BN16" s="71">
        <v>0.72</v>
      </c>
      <c r="BO16" s="71">
        <v>0.96</v>
      </c>
    </row>
    <row r="17" spans="2:67" x14ac:dyDescent="0.15">
      <c r="B17" s="51">
        <v>30</v>
      </c>
      <c r="C17" s="66">
        <v>0.6</v>
      </c>
      <c r="D17" s="56"/>
      <c r="E17" s="56"/>
      <c r="F17" s="51">
        <v>30</v>
      </c>
      <c r="G17" s="66">
        <v>0.72</v>
      </c>
      <c r="H17" s="56"/>
      <c r="I17" s="56"/>
      <c r="J17" s="51">
        <v>30</v>
      </c>
      <c r="K17" s="66">
        <v>0.36</v>
      </c>
      <c r="N17" s="51">
        <f t="shared" si="0"/>
        <v>30</v>
      </c>
      <c r="O17" s="66">
        <v>3.84</v>
      </c>
      <c r="V17" s="51">
        <v>30</v>
      </c>
      <c r="W17" s="66">
        <v>0.96</v>
      </c>
      <c r="AA17" s="51">
        <v>29</v>
      </c>
      <c r="AB17" s="68">
        <v>0.48</v>
      </c>
      <c r="AC17" s="69">
        <v>0.6</v>
      </c>
      <c r="AD17" s="70">
        <v>0.36</v>
      </c>
      <c r="AE17" s="69">
        <v>0.48</v>
      </c>
      <c r="AF17" s="71">
        <v>0.36</v>
      </c>
      <c r="AG17" s="71">
        <v>0.48</v>
      </c>
      <c r="AJ17" s="51">
        <v>29</v>
      </c>
      <c r="AK17" s="68">
        <v>0.6</v>
      </c>
      <c r="AL17" s="69">
        <v>0.84</v>
      </c>
      <c r="AM17" s="70">
        <v>0.48</v>
      </c>
      <c r="AN17" s="69">
        <v>0.72</v>
      </c>
      <c r="AO17" s="71">
        <v>0.6</v>
      </c>
      <c r="AP17" s="71">
        <v>0.72</v>
      </c>
      <c r="AS17" s="51">
        <v>28</v>
      </c>
      <c r="AT17" s="72">
        <v>0.12</v>
      </c>
      <c r="AU17" s="72">
        <v>0.24</v>
      </c>
      <c r="AV17" s="72">
        <v>0.12</v>
      </c>
      <c r="AW17" s="72">
        <v>0.24</v>
      </c>
      <c r="AX17" s="76">
        <v>0.12</v>
      </c>
      <c r="AY17" s="72">
        <v>0.12</v>
      </c>
      <c r="AZ17" s="72">
        <v>0.12</v>
      </c>
      <c r="BA17" s="77">
        <v>0.24</v>
      </c>
      <c r="BB17" s="66">
        <v>0.12</v>
      </c>
      <c r="BC17" s="66">
        <v>0.24</v>
      </c>
      <c r="BD17" s="66">
        <v>0.12</v>
      </c>
      <c r="BE17" s="66">
        <v>0.24</v>
      </c>
      <c r="BI17" s="51">
        <v>29</v>
      </c>
      <c r="BJ17" s="68">
        <v>0.84</v>
      </c>
      <c r="BK17" s="69">
        <v>1.2</v>
      </c>
      <c r="BL17" s="70">
        <v>0.72</v>
      </c>
      <c r="BM17" s="69">
        <v>0.96</v>
      </c>
      <c r="BN17" s="71">
        <v>0.72</v>
      </c>
      <c r="BO17" s="71">
        <v>0.96</v>
      </c>
    </row>
    <row r="18" spans="2:67" x14ac:dyDescent="0.15">
      <c r="B18" s="51">
        <v>31</v>
      </c>
      <c r="C18" s="66">
        <v>0.6</v>
      </c>
      <c r="D18" s="56"/>
      <c r="E18" s="56"/>
      <c r="F18" s="51">
        <v>31</v>
      </c>
      <c r="G18" s="66">
        <v>0.72</v>
      </c>
      <c r="H18" s="56"/>
      <c r="I18" s="56"/>
      <c r="J18" s="51">
        <v>31</v>
      </c>
      <c r="K18" s="66">
        <v>0.36</v>
      </c>
      <c r="N18" s="51">
        <f t="shared" si="0"/>
        <v>31</v>
      </c>
      <c r="O18" s="66">
        <v>4.08</v>
      </c>
      <c r="V18" s="51">
        <v>31</v>
      </c>
      <c r="W18" s="66">
        <v>0.96</v>
      </c>
      <c r="AA18" s="51">
        <v>30</v>
      </c>
      <c r="AB18" s="68">
        <v>0.48</v>
      </c>
      <c r="AC18" s="69">
        <v>0.6</v>
      </c>
      <c r="AD18" s="70">
        <v>0.36</v>
      </c>
      <c r="AE18" s="69">
        <v>0.48</v>
      </c>
      <c r="AF18" s="71">
        <v>0.36</v>
      </c>
      <c r="AG18" s="71">
        <v>0.48</v>
      </c>
      <c r="AJ18" s="51">
        <v>30</v>
      </c>
      <c r="AK18" s="68">
        <v>0.72</v>
      </c>
      <c r="AL18" s="69">
        <v>0.96</v>
      </c>
      <c r="AM18" s="70">
        <v>0.6</v>
      </c>
      <c r="AN18" s="69">
        <v>0.84</v>
      </c>
      <c r="AO18" s="71">
        <v>0.6</v>
      </c>
      <c r="AP18" s="71">
        <v>0.84</v>
      </c>
      <c r="AS18" s="51">
        <v>29</v>
      </c>
      <c r="AT18" s="72">
        <v>0.12</v>
      </c>
      <c r="AU18" s="72">
        <v>0.24</v>
      </c>
      <c r="AV18" s="72">
        <v>0.12</v>
      </c>
      <c r="AW18" s="72">
        <v>0.24</v>
      </c>
      <c r="AX18" s="76">
        <v>0.12</v>
      </c>
      <c r="AY18" s="72">
        <v>0.24</v>
      </c>
      <c r="AZ18" s="72">
        <v>0.12</v>
      </c>
      <c r="BA18" s="77">
        <v>0.24</v>
      </c>
      <c r="BB18" s="66">
        <v>0.12</v>
      </c>
      <c r="BC18" s="66">
        <v>0.24</v>
      </c>
      <c r="BD18" s="66">
        <v>0.12</v>
      </c>
      <c r="BE18" s="66">
        <v>0.24</v>
      </c>
      <c r="BI18" s="51">
        <v>30</v>
      </c>
      <c r="BJ18" s="68">
        <v>0.84</v>
      </c>
      <c r="BK18" s="69">
        <v>1.2</v>
      </c>
      <c r="BL18" s="70">
        <v>0.72</v>
      </c>
      <c r="BM18" s="69">
        <v>0.96</v>
      </c>
      <c r="BN18" s="71">
        <v>0.72</v>
      </c>
      <c r="BO18" s="71">
        <v>1.08</v>
      </c>
    </row>
    <row r="19" spans="2:67" x14ac:dyDescent="0.15">
      <c r="B19" s="51">
        <v>32</v>
      </c>
      <c r="C19" s="66">
        <v>0.6</v>
      </c>
      <c r="D19" s="56"/>
      <c r="E19" s="56"/>
      <c r="F19" s="51">
        <v>32</v>
      </c>
      <c r="G19" s="66">
        <v>0.72</v>
      </c>
      <c r="H19" s="56"/>
      <c r="I19" s="56"/>
      <c r="J19" s="51">
        <v>32</v>
      </c>
      <c r="K19" s="66">
        <v>0.36</v>
      </c>
      <c r="N19" s="51">
        <f t="shared" si="0"/>
        <v>32</v>
      </c>
      <c r="O19" s="66">
        <v>4.4399999999999995</v>
      </c>
      <c r="V19" s="51">
        <v>32</v>
      </c>
      <c r="W19" s="66">
        <v>0.96</v>
      </c>
      <c r="AA19" s="51">
        <v>31</v>
      </c>
      <c r="AB19" s="68">
        <v>0.48</v>
      </c>
      <c r="AC19" s="69">
        <v>0.6</v>
      </c>
      <c r="AD19" s="70">
        <v>0.36</v>
      </c>
      <c r="AE19" s="69">
        <v>0.48</v>
      </c>
      <c r="AF19" s="71">
        <v>0.36</v>
      </c>
      <c r="AG19" s="71">
        <v>0.48</v>
      </c>
      <c r="AJ19" s="51">
        <v>31</v>
      </c>
      <c r="AK19" s="68">
        <v>0.72</v>
      </c>
      <c r="AL19" s="69">
        <v>0.96</v>
      </c>
      <c r="AM19" s="70">
        <v>0.6</v>
      </c>
      <c r="AN19" s="69">
        <v>0.84</v>
      </c>
      <c r="AO19" s="71">
        <v>0.6</v>
      </c>
      <c r="AP19" s="71">
        <v>0.84</v>
      </c>
      <c r="AS19" s="51">
        <v>30</v>
      </c>
      <c r="AT19" s="72">
        <v>0.12</v>
      </c>
      <c r="AU19" s="72">
        <v>0.24</v>
      </c>
      <c r="AV19" s="72">
        <v>0.12</v>
      </c>
      <c r="AW19" s="72">
        <v>0.36</v>
      </c>
      <c r="AX19" s="76">
        <v>0.12</v>
      </c>
      <c r="AY19" s="72">
        <v>0.24</v>
      </c>
      <c r="AZ19" s="72">
        <v>0.12</v>
      </c>
      <c r="BA19" s="77">
        <v>0.24</v>
      </c>
      <c r="BB19" s="66">
        <v>0.12</v>
      </c>
      <c r="BC19" s="66">
        <v>0.24</v>
      </c>
      <c r="BD19" s="66">
        <v>0.12</v>
      </c>
      <c r="BE19" s="66">
        <v>0.24</v>
      </c>
      <c r="BI19" s="51">
        <v>31</v>
      </c>
      <c r="BJ19" s="68">
        <v>0.96</v>
      </c>
      <c r="BK19" s="69">
        <v>1.3199999999999998</v>
      </c>
      <c r="BL19" s="70">
        <v>0.72</v>
      </c>
      <c r="BM19" s="69">
        <v>1.08</v>
      </c>
      <c r="BN19" s="71">
        <v>0.84</v>
      </c>
      <c r="BO19" s="71">
        <v>1.08</v>
      </c>
    </row>
    <row r="20" spans="2:67" x14ac:dyDescent="0.15">
      <c r="B20" s="51">
        <v>33</v>
      </c>
      <c r="C20" s="66">
        <v>0.6</v>
      </c>
      <c r="D20" s="56"/>
      <c r="E20" s="56"/>
      <c r="F20" s="51">
        <v>33</v>
      </c>
      <c r="G20" s="66">
        <v>0.72</v>
      </c>
      <c r="H20" s="56"/>
      <c r="I20" s="56"/>
      <c r="J20" s="51">
        <v>33</v>
      </c>
      <c r="K20" s="66">
        <v>0.36</v>
      </c>
      <c r="N20" s="51">
        <f t="shared" si="0"/>
        <v>33</v>
      </c>
      <c r="O20" s="66">
        <v>4.68</v>
      </c>
      <c r="V20" s="51">
        <v>33</v>
      </c>
      <c r="W20" s="66">
        <v>0.96</v>
      </c>
      <c r="AA20" s="51">
        <v>32</v>
      </c>
      <c r="AB20" s="68">
        <v>0.48</v>
      </c>
      <c r="AC20" s="69">
        <v>0.6</v>
      </c>
      <c r="AD20" s="70">
        <v>0.48</v>
      </c>
      <c r="AE20" s="69">
        <v>0.48</v>
      </c>
      <c r="AF20" s="71">
        <v>0.48</v>
      </c>
      <c r="AG20" s="71">
        <v>0.6</v>
      </c>
      <c r="AJ20" s="51">
        <v>32</v>
      </c>
      <c r="AK20" s="68">
        <v>0.72</v>
      </c>
      <c r="AL20" s="69">
        <v>1.08</v>
      </c>
      <c r="AM20" s="70">
        <v>0.6</v>
      </c>
      <c r="AN20" s="69">
        <v>0.84</v>
      </c>
      <c r="AO20" s="71">
        <v>0.72</v>
      </c>
      <c r="AP20" s="71">
        <v>0.96</v>
      </c>
      <c r="AS20" s="51">
        <v>31</v>
      </c>
      <c r="AT20" s="72">
        <v>0.12</v>
      </c>
      <c r="AU20" s="72">
        <v>0.24</v>
      </c>
      <c r="AV20" s="72">
        <v>0.12</v>
      </c>
      <c r="AW20" s="72">
        <v>0.36</v>
      </c>
      <c r="AX20" s="76">
        <v>0.12</v>
      </c>
      <c r="AY20" s="72">
        <v>0.24</v>
      </c>
      <c r="AZ20" s="72">
        <v>0.12</v>
      </c>
      <c r="BA20" s="77">
        <v>0.24</v>
      </c>
      <c r="BB20" s="66">
        <v>0.12</v>
      </c>
      <c r="BC20" s="66">
        <v>0.24</v>
      </c>
      <c r="BD20" s="66">
        <v>0.12</v>
      </c>
      <c r="BE20" s="66">
        <v>0.24</v>
      </c>
      <c r="BI20" s="51">
        <v>32</v>
      </c>
      <c r="BJ20" s="68">
        <v>0.96</v>
      </c>
      <c r="BK20" s="69">
        <v>1.3199999999999998</v>
      </c>
      <c r="BL20" s="70">
        <v>0.84</v>
      </c>
      <c r="BM20" s="69">
        <v>1.08</v>
      </c>
      <c r="BN20" s="71">
        <v>0.84</v>
      </c>
      <c r="BO20" s="71">
        <v>1.2</v>
      </c>
    </row>
    <row r="21" spans="2:67" x14ac:dyDescent="0.15">
      <c r="B21" s="51">
        <v>34</v>
      </c>
      <c r="C21" s="66">
        <v>0.6</v>
      </c>
      <c r="D21" s="56"/>
      <c r="E21" s="56"/>
      <c r="F21" s="51">
        <v>34</v>
      </c>
      <c r="G21" s="66">
        <v>0.72</v>
      </c>
      <c r="H21" s="56"/>
      <c r="I21" s="56"/>
      <c r="J21" s="51">
        <v>34</v>
      </c>
      <c r="K21" s="66">
        <v>0.36</v>
      </c>
      <c r="N21" s="51">
        <f t="shared" si="0"/>
        <v>34</v>
      </c>
      <c r="O21" s="66">
        <v>5.16</v>
      </c>
      <c r="V21" s="51">
        <v>34</v>
      </c>
      <c r="W21" s="66">
        <v>0.96</v>
      </c>
      <c r="AA21" s="51">
        <v>33</v>
      </c>
      <c r="AB21" s="68">
        <v>0.48</v>
      </c>
      <c r="AC21" s="69">
        <v>0.72</v>
      </c>
      <c r="AD21" s="70">
        <v>0.48</v>
      </c>
      <c r="AE21" s="69">
        <v>0.6</v>
      </c>
      <c r="AF21" s="71">
        <v>0.48</v>
      </c>
      <c r="AG21" s="71">
        <v>0.6</v>
      </c>
      <c r="AJ21" s="51">
        <v>33</v>
      </c>
      <c r="AK21" s="68">
        <v>0.84</v>
      </c>
      <c r="AL21" s="69">
        <v>1.08</v>
      </c>
      <c r="AM21" s="70">
        <v>0.72</v>
      </c>
      <c r="AN21" s="69">
        <v>0.96</v>
      </c>
      <c r="AO21" s="71">
        <v>0.72</v>
      </c>
      <c r="AP21" s="71">
        <v>0.96</v>
      </c>
      <c r="AS21" s="51">
        <v>32</v>
      </c>
      <c r="AT21" s="72">
        <v>0.12</v>
      </c>
      <c r="AU21" s="72">
        <v>0.24</v>
      </c>
      <c r="AV21" s="72">
        <v>0.12</v>
      </c>
      <c r="AW21" s="72">
        <v>0.36</v>
      </c>
      <c r="AX21" s="76">
        <v>0.12</v>
      </c>
      <c r="AY21" s="72">
        <v>0.24</v>
      </c>
      <c r="AZ21" s="72">
        <v>0.12</v>
      </c>
      <c r="BA21" s="77">
        <v>0.24</v>
      </c>
      <c r="BB21" s="66">
        <v>0.12</v>
      </c>
      <c r="BC21" s="66">
        <v>0.24</v>
      </c>
      <c r="BD21" s="66">
        <v>0.12</v>
      </c>
      <c r="BE21" s="66">
        <v>0.24</v>
      </c>
      <c r="BI21" s="51">
        <v>33</v>
      </c>
      <c r="BJ21" s="68">
        <v>0.96</v>
      </c>
      <c r="BK21" s="69">
        <v>1.44</v>
      </c>
      <c r="BL21" s="70">
        <v>0.84</v>
      </c>
      <c r="BM21" s="69">
        <v>1.2</v>
      </c>
      <c r="BN21" s="71">
        <v>0.84</v>
      </c>
      <c r="BO21" s="71">
        <v>1.2</v>
      </c>
    </row>
    <row r="22" spans="2:67" x14ac:dyDescent="0.15">
      <c r="B22" s="51">
        <v>35</v>
      </c>
      <c r="C22" s="66">
        <v>0.6</v>
      </c>
      <c r="D22" s="56"/>
      <c r="E22" s="56"/>
      <c r="F22" s="51">
        <v>35</v>
      </c>
      <c r="G22" s="66">
        <v>0.72</v>
      </c>
      <c r="H22" s="56"/>
      <c r="I22" s="56"/>
      <c r="J22" s="51">
        <v>35</v>
      </c>
      <c r="K22" s="66">
        <v>0.36</v>
      </c>
      <c r="N22" s="51">
        <f t="shared" si="0"/>
        <v>35</v>
      </c>
      <c r="O22" s="66">
        <v>5.52</v>
      </c>
      <c r="V22" s="51">
        <v>35</v>
      </c>
      <c r="W22" s="66">
        <v>0.96</v>
      </c>
      <c r="AA22" s="51">
        <v>34</v>
      </c>
      <c r="AB22" s="68">
        <v>0.6</v>
      </c>
      <c r="AC22" s="69">
        <v>0.72</v>
      </c>
      <c r="AD22" s="70">
        <v>0.48</v>
      </c>
      <c r="AE22" s="69">
        <v>0.6</v>
      </c>
      <c r="AF22" s="71">
        <v>0.48</v>
      </c>
      <c r="AG22" s="71">
        <v>0.6</v>
      </c>
      <c r="AJ22" s="51">
        <v>34</v>
      </c>
      <c r="AK22" s="68">
        <v>0.84</v>
      </c>
      <c r="AL22" s="69">
        <v>1.2</v>
      </c>
      <c r="AM22" s="70">
        <v>0.72</v>
      </c>
      <c r="AN22" s="69">
        <v>0.96</v>
      </c>
      <c r="AO22" s="71">
        <v>0.72</v>
      </c>
      <c r="AP22" s="71">
        <v>0.96</v>
      </c>
      <c r="AS22" s="51">
        <v>33</v>
      </c>
      <c r="AT22" s="72">
        <v>0.12</v>
      </c>
      <c r="AU22" s="72">
        <v>0.24</v>
      </c>
      <c r="AV22" s="72">
        <v>0.12</v>
      </c>
      <c r="AW22" s="72">
        <v>0.36</v>
      </c>
      <c r="AX22" s="76">
        <v>0.12</v>
      </c>
      <c r="AY22" s="72">
        <v>0.24</v>
      </c>
      <c r="AZ22" s="72">
        <v>0.12</v>
      </c>
      <c r="BA22" s="77">
        <v>0.36</v>
      </c>
      <c r="BB22" s="66">
        <v>0.12</v>
      </c>
      <c r="BC22" s="66">
        <v>0.24</v>
      </c>
      <c r="BD22" s="66">
        <v>0.12</v>
      </c>
      <c r="BE22" s="66">
        <v>0.36</v>
      </c>
      <c r="BI22" s="51">
        <v>34</v>
      </c>
      <c r="BJ22" s="68">
        <v>1.08</v>
      </c>
      <c r="BK22" s="69">
        <v>1.44</v>
      </c>
      <c r="BL22" s="70">
        <v>0.84</v>
      </c>
      <c r="BM22" s="69">
        <v>1.2</v>
      </c>
      <c r="BN22" s="71">
        <v>0.96</v>
      </c>
      <c r="BO22" s="71">
        <v>1.3199999999999998</v>
      </c>
    </row>
    <row r="23" spans="2:67" x14ac:dyDescent="0.15">
      <c r="B23" s="51">
        <v>36</v>
      </c>
      <c r="C23" s="66">
        <v>0.6</v>
      </c>
      <c r="D23" s="56"/>
      <c r="E23" s="56"/>
      <c r="F23" s="51">
        <v>36</v>
      </c>
      <c r="G23" s="66">
        <v>0.72</v>
      </c>
      <c r="H23" s="56"/>
      <c r="I23" s="56"/>
      <c r="J23" s="51">
        <v>36</v>
      </c>
      <c r="K23" s="66">
        <v>0.36</v>
      </c>
      <c r="N23" s="51">
        <f t="shared" si="0"/>
        <v>36</v>
      </c>
      <c r="O23" s="66">
        <v>6</v>
      </c>
      <c r="V23" s="51">
        <v>36</v>
      </c>
      <c r="W23" s="66">
        <v>0.96</v>
      </c>
      <c r="AA23" s="51">
        <v>35</v>
      </c>
      <c r="AB23" s="68">
        <v>0.6</v>
      </c>
      <c r="AC23" s="69">
        <v>0.72</v>
      </c>
      <c r="AD23" s="70">
        <v>0.48</v>
      </c>
      <c r="AE23" s="69">
        <v>0.6</v>
      </c>
      <c r="AF23" s="71">
        <v>0.48</v>
      </c>
      <c r="AG23" s="71">
        <v>0.6</v>
      </c>
      <c r="AJ23" s="51">
        <v>35</v>
      </c>
      <c r="AK23" s="68">
        <v>0.96</v>
      </c>
      <c r="AL23" s="69">
        <v>1.2</v>
      </c>
      <c r="AM23" s="70">
        <v>0.72</v>
      </c>
      <c r="AN23" s="69">
        <v>1.08</v>
      </c>
      <c r="AO23" s="71">
        <v>0.84</v>
      </c>
      <c r="AP23" s="71">
        <v>1.08</v>
      </c>
      <c r="AS23" s="51">
        <v>34</v>
      </c>
      <c r="AT23" s="72">
        <v>0.12</v>
      </c>
      <c r="AU23" s="72">
        <v>0.24</v>
      </c>
      <c r="AV23" s="72">
        <v>0.12</v>
      </c>
      <c r="AW23" s="72">
        <v>0.36</v>
      </c>
      <c r="AX23" s="76">
        <v>0.12</v>
      </c>
      <c r="AY23" s="72">
        <v>0.24</v>
      </c>
      <c r="AZ23" s="72">
        <v>0.12</v>
      </c>
      <c r="BA23" s="77">
        <v>0.36</v>
      </c>
      <c r="BB23" s="66">
        <v>0.12</v>
      </c>
      <c r="BC23" s="66">
        <v>0.24</v>
      </c>
      <c r="BD23" s="66">
        <v>0.12</v>
      </c>
      <c r="BE23" s="66">
        <v>0.36</v>
      </c>
      <c r="BI23" s="51">
        <v>35</v>
      </c>
      <c r="BJ23" s="68">
        <v>1.08</v>
      </c>
      <c r="BK23" s="69">
        <v>1.56</v>
      </c>
      <c r="BL23" s="70">
        <v>0.96</v>
      </c>
      <c r="BM23" s="69">
        <v>1.3199999999999998</v>
      </c>
      <c r="BN23" s="71">
        <v>0.96</v>
      </c>
      <c r="BO23" s="71">
        <v>1.3199999999999998</v>
      </c>
    </row>
    <row r="24" spans="2:67" x14ac:dyDescent="0.15">
      <c r="B24" s="51">
        <v>37</v>
      </c>
      <c r="C24" s="66">
        <v>0.72</v>
      </c>
      <c r="D24" s="56"/>
      <c r="E24" s="56"/>
      <c r="F24" s="51">
        <v>37</v>
      </c>
      <c r="G24" s="66">
        <v>0.72</v>
      </c>
      <c r="H24" s="56"/>
      <c r="I24" s="56"/>
      <c r="J24" s="51">
        <v>37</v>
      </c>
      <c r="K24" s="66">
        <v>0.36</v>
      </c>
      <c r="N24" s="51">
        <f t="shared" si="0"/>
        <v>37</v>
      </c>
      <c r="O24" s="66">
        <v>6.4799999999999995</v>
      </c>
      <c r="V24" s="51">
        <v>37</v>
      </c>
      <c r="W24" s="66">
        <v>0.96</v>
      </c>
      <c r="AA24" s="51">
        <v>36</v>
      </c>
      <c r="AB24" s="68">
        <v>0.6</v>
      </c>
      <c r="AC24" s="69">
        <v>0.84</v>
      </c>
      <c r="AD24" s="70">
        <v>0.48</v>
      </c>
      <c r="AE24" s="69">
        <v>0.72</v>
      </c>
      <c r="AF24" s="71">
        <v>0.6</v>
      </c>
      <c r="AG24" s="71">
        <v>0.72</v>
      </c>
      <c r="AJ24" s="51">
        <v>36</v>
      </c>
      <c r="AK24" s="68">
        <v>0.96</v>
      </c>
      <c r="AL24" s="69">
        <v>1.3199999999999998</v>
      </c>
      <c r="AM24" s="70">
        <v>0.84</v>
      </c>
      <c r="AN24" s="69">
        <v>1.08</v>
      </c>
      <c r="AO24" s="71">
        <v>0.84</v>
      </c>
      <c r="AP24" s="71">
        <v>1.2</v>
      </c>
      <c r="AS24" s="51">
        <v>35</v>
      </c>
      <c r="AT24" s="72">
        <v>0.12</v>
      </c>
      <c r="AU24" s="72">
        <v>0.36</v>
      </c>
      <c r="AV24" s="72">
        <v>0.24</v>
      </c>
      <c r="AW24" s="72">
        <v>0.36</v>
      </c>
      <c r="AX24" s="76">
        <v>0.12</v>
      </c>
      <c r="AY24" s="72">
        <v>0.24</v>
      </c>
      <c r="AZ24" s="72">
        <v>0.12</v>
      </c>
      <c r="BA24" s="77">
        <v>0.36</v>
      </c>
      <c r="BB24" s="66">
        <v>0.12</v>
      </c>
      <c r="BC24" s="66">
        <v>0.24</v>
      </c>
      <c r="BD24" s="66">
        <v>0.12</v>
      </c>
      <c r="BE24" s="66">
        <v>0.36</v>
      </c>
      <c r="BI24" s="51">
        <v>36</v>
      </c>
      <c r="BJ24" s="68">
        <v>1.2</v>
      </c>
      <c r="BK24" s="69">
        <v>1.68</v>
      </c>
      <c r="BL24" s="70">
        <v>0.96</v>
      </c>
      <c r="BM24" s="69">
        <v>1.44</v>
      </c>
      <c r="BN24" s="71">
        <v>1.08</v>
      </c>
      <c r="BO24" s="71">
        <v>1.44</v>
      </c>
    </row>
    <row r="25" spans="2:67" x14ac:dyDescent="0.15">
      <c r="B25" s="51">
        <v>38</v>
      </c>
      <c r="C25" s="66">
        <v>0.72</v>
      </c>
      <c r="D25" s="56"/>
      <c r="E25" s="56"/>
      <c r="F25" s="51">
        <v>38</v>
      </c>
      <c r="G25" s="66">
        <v>0.84</v>
      </c>
      <c r="H25" s="56"/>
      <c r="I25" s="56"/>
      <c r="J25" s="51">
        <v>38</v>
      </c>
      <c r="K25" s="66">
        <v>0.36</v>
      </c>
      <c r="N25" s="51">
        <f t="shared" si="0"/>
        <v>38</v>
      </c>
      <c r="O25" s="66">
        <v>6.96</v>
      </c>
      <c r="V25" s="51">
        <v>38</v>
      </c>
      <c r="W25" s="66">
        <v>0.96</v>
      </c>
      <c r="AA25" s="51">
        <v>37</v>
      </c>
      <c r="AB25" s="68">
        <v>0.72</v>
      </c>
      <c r="AC25" s="69">
        <v>0.84</v>
      </c>
      <c r="AD25" s="70">
        <v>0.6</v>
      </c>
      <c r="AE25" s="69">
        <v>0.72</v>
      </c>
      <c r="AF25" s="71">
        <v>0.6</v>
      </c>
      <c r="AG25" s="71">
        <v>0.72</v>
      </c>
      <c r="AJ25" s="51">
        <v>37</v>
      </c>
      <c r="AK25" s="68">
        <v>0.96</v>
      </c>
      <c r="AL25" s="69">
        <v>1.44</v>
      </c>
      <c r="AM25" s="70">
        <v>0.84</v>
      </c>
      <c r="AN25" s="69">
        <v>1.2</v>
      </c>
      <c r="AO25" s="71">
        <v>0.84</v>
      </c>
      <c r="AP25" s="71">
        <v>1.2</v>
      </c>
      <c r="AS25" s="51">
        <v>36</v>
      </c>
      <c r="AT25" s="72">
        <v>0.12</v>
      </c>
      <c r="AU25" s="72">
        <v>0.36</v>
      </c>
      <c r="AV25" s="72">
        <v>0.24</v>
      </c>
      <c r="AW25" s="72">
        <v>0.48</v>
      </c>
      <c r="AX25" s="76">
        <v>0.12</v>
      </c>
      <c r="AY25" s="72">
        <v>0.24</v>
      </c>
      <c r="AZ25" s="72">
        <v>0.12</v>
      </c>
      <c r="BA25" s="77">
        <v>0.36</v>
      </c>
      <c r="BB25" s="66">
        <v>0.12</v>
      </c>
      <c r="BC25" s="66">
        <v>0.24</v>
      </c>
      <c r="BD25" s="66">
        <v>0.12</v>
      </c>
      <c r="BE25" s="66">
        <v>0.36</v>
      </c>
      <c r="BI25" s="51">
        <v>37</v>
      </c>
      <c r="BJ25" s="68">
        <v>1.3199999999999998</v>
      </c>
      <c r="BK25" s="69">
        <v>1.7999999999999998</v>
      </c>
      <c r="BL25" s="70">
        <v>1.08</v>
      </c>
      <c r="BM25" s="69">
        <v>1.56</v>
      </c>
      <c r="BN25" s="71">
        <v>1.08</v>
      </c>
      <c r="BO25" s="71">
        <v>1.56</v>
      </c>
    </row>
    <row r="26" spans="2:67" x14ac:dyDescent="0.15">
      <c r="B26" s="51">
        <v>39</v>
      </c>
      <c r="C26" s="66">
        <v>0.72</v>
      </c>
      <c r="D26" s="56"/>
      <c r="E26" s="56"/>
      <c r="F26" s="51">
        <v>39</v>
      </c>
      <c r="G26" s="66">
        <v>0.84</v>
      </c>
      <c r="H26" s="56"/>
      <c r="I26" s="56"/>
      <c r="J26" s="51">
        <v>39</v>
      </c>
      <c r="K26" s="66">
        <v>0.36</v>
      </c>
      <c r="N26" s="51">
        <f t="shared" si="0"/>
        <v>39</v>
      </c>
      <c r="O26" s="66">
        <v>7.56</v>
      </c>
      <c r="V26" s="51">
        <v>39</v>
      </c>
      <c r="W26" s="66">
        <v>0.96</v>
      </c>
      <c r="AA26" s="51">
        <v>38</v>
      </c>
      <c r="AB26" s="68">
        <v>0.72</v>
      </c>
      <c r="AC26" s="69">
        <v>0.96</v>
      </c>
      <c r="AD26" s="70">
        <v>0.6</v>
      </c>
      <c r="AE26" s="69">
        <v>0.72</v>
      </c>
      <c r="AF26" s="71">
        <v>0.6</v>
      </c>
      <c r="AG26" s="71">
        <v>0.84</v>
      </c>
      <c r="AJ26" s="51">
        <v>38</v>
      </c>
      <c r="AK26" s="68">
        <v>1.08</v>
      </c>
      <c r="AL26" s="69">
        <v>1.44</v>
      </c>
      <c r="AM26" s="70">
        <v>0.96</v>
      </c>
      <c r="AN26" s="69">
        <v>1.2</v>
      </c>
      <c r="AO26" s="71">
        <v>0.96</v>
      </c>
      <c r="AP26" s="71">
        <v>1.3199999999999998</v>
      </c>
      <c r="AS26" s="51">
        <v>37</v>
      </c>
      <c r="AT26" s="72">
        <v>0.12</v>
      </c>
      <c r="AU26" s="72">
        <v>0.36</v>
      </c>
      <c r="AV26" s="72">
        <v>0.24</v>
      </c>
      <c r="AW26" s="72">
        <v>0.48</v>
      </c>
      <c r="AX26" s="76">
        <v>0.12</v>
      </c>
      <c r="AY26" s="72">
        <v>0.36</v>
      </c>
      <c r="AZ26" s="72">
        <v>0.12</v>
      </c>
      <c r="BA26" s="77">
        <v>0.36</v>
      </c>
      <c r="BB26" s="66">
        <v>0.12</v>
      </c>
      <c r="BC26" s="66">
        <v>0.36</v>
      </c>
      <c r="BD26" s="66">
        <v>0.24</v>
      </c>
      <c r="BE26" s="66">
        <v>0.36</v>
      </c>
      <c r="BI26" s="51">
        <v>38</v>
      </c>
      <c r="BJ26" s="68">
        <v>1.3199999999999998</v>
      </c>
      <c r="BK26" s="69">
        <v>1.92</v>
      </c>
      <c r="BL26" s="70">
        <v>1.08</v>
      </c>
      <c r="BM26" s="69">
        <v>1.56</v>
      </c>
      <c r="BN26" s="71">
        <v>1.2</v>
      </c>
      <c r="BO26" s="71">
        <v>1.68</v>
      </c>
    </row>
    <row r="27" spans="2:67" x14ac:dyDescent="0.15">
      <c r="B27" s="51">
        <v>40</v>
      </c>
      <c r="C27" s="66">
        <v>0.72</v>
      </c>
      <c r="D27" s="56"/>
      <c r="E27" s="56"/>
      <c r="F27" s="51">
        <v>40</v>
      </c>
      <c r="G27" s="66">
        <v>0.84</v>
      </c>
      <c r="H27" s="56"/>
      <c r="I27" s="56"/>
      <c r="J27" s="51">
        <v>40</v>
      </c>
      <c r="K27" s="66">
        <v>0.36</v>
      </c>
      <c r="N27" s="51">
        <f t="shared" si="0"/>
        <v>40</v>
      </c>
      <c r="O27" s="66">
        <v>8.2799999999999994</v>
      </c>
      <c r="V27" s="51">
        <v>40</v>
      </c>
      <c r="W27" s="66">
        <v>0.96</v>
      </c>
      <c r="AA27" s="51">
        <v>39</v>
      </c>
      <c r="AB27" s="68">
        <v>0.72</v>
      </c>
      <c r="AC27" s="69">
        <v>0.96</v>
      </c>
      <c r="AD27" s="70">
        <v>0.6</v>
      </c>
      <c r="AE27" s="69">
        <v>0.84</v>
      </c>
      <c r="AF27" s="71">
        <v>0.72</v>
      </c>
      <c r="AG27" s="71">
        <v>0.84</v>
      </c>
      <c r="AJ27" s="51">
        <v>39</v>
      </c>
      <c r="AK27" s="68">
        <v>1.2</v>
      </c>
      <c r="AL27" s="69">
        <v>1.56</v>
      </c>
      <c r="AM27" s="70">
        <v>0.96</v>
      </c>
      <c r="AN27" s="69">
        <v>1.3199999999999998</v>
      </c>
      <c r="AO27" s="71">
        <v>0.96</v>
      </c>
      <c r="AP27" s="71">
        <v>1.44</v>
      </c>
      <c r="AS27" s="78">
        <v>38</v>
      </c>
      <c r="AT27" s="66">
        <v>0.24</v>
      </c>
      <c r="AU27" s="66">
        <v>0.36</v>
      </c>
      <c r="AV27" s="66">
        <v>0.24</v>
      </c>
      <c r="AW27" s="66">
        <v>0.48</v>
      </c>
      <c r="AX27" s="79">
        <v>0.12</v>
      </c>
      <c r="AY27" s="66">
        <v>0.36</v>
      </c>
      <c r="AZ27" s="66">
        <v>0.24</v>
      </c>
      <c r="BA27" s="80">
        <v>0.36</v>
      </c>
      <c r="BB27" s="66">
        <v>0.12</v>
      </c>
      <c r="BC27" s="66">
        <v>0.36</v>
      </c>
      <c r="BD27" s="66">
        <v>0.24</v>
      </c>
      <c r="BE27" s="66">
        <v>0.48</v>
      </c>
      <c r="BI27" s="51">
        <v>39</v>
      </c>
      <c r="BJ27" s="68">
        <v>1.44</v>
      </c>
      <c r="BK27" s="69">
        <v>2.04</v>
      </c>
      <c r="BL27" s="70">
        <v>1.2</v>
      </c>
      <c r="BM27" s="69">
        <v>1.68</v>
      </c>
      <c r="BN27" s="71">
        <v>1.2</v>
      </c>
      <c r="BO27" s="71">
        <v>1.7999999999999998</v>
      </c>
    </row>
    <row r="28" spans="2:67" x14ac:dyDescent="0.15">
      <c r="B28" s="51">
        <v>41</v>
      </c>
      <c r="C28" s="66">
        <v>0.72</v>
      </c>
      <c r="D28" s="56"/>
      <c r="E28" s="56"/>
      <c r="F28" s="51">
        <v>41</v>
      </c>
      <c r="G28" s="66">
        <v>0.84</v>
      </c>
      <c r="H28" s="56"/>
      <c r="I28" s="56"/>
      <c r="J28" s="51">
        <v>41</v>
      </c>
      <c r="K28" s="66">
        <v>0.36</v>
      </c>
      <c r="N28" s="51">
        <f t="shared" si="0"/>
        <v>41</v>
      </c>
      <c r="O28" s="66">
        <v>8.879999999999999</v>
      </c>
      <c r="V28" s="51">
        <v>41</v>
      </c>
      <c r="W28" s="66">
        <v>0.96</v>
      </c>
      <c r="AA28" s="51">
        <v>40</v>
      </c>
      <c r="AB28" s="68">
        <v>0.84</v>
      </c>
      <c r="AC28" s="69">
        <v>1.08</v>
      </c>
      <c r="AD28" s="70">
        <v>0.72</v>
      </c>
      <c r="AE28" s="69">
        <v>0.84</v>
      </c>
      <c r="AF28" s="71">
        <v>0.72</v>
      </c>
      <c r="AG28" s="71">
        <v>0.96</v>
      </c>
      <c r="AJ28" s="51">
        <v>40</v>
      </c>
      <c r="AK28" s="68">
        <v>1.2</v>
      </c>
      <c r="AL28" s="69">
        <v>1.68</v>
      </c>
      <c r="AM28" s="70">
        <v>1.08</v>
      </c>
      <c r="AN28" s="69">
        <v>1.44</v>
      </c>
      <c r="AO28" s="71">
        <v>1.08</v>
      </c>
      <c r="AP28" s="71">
        <v>1.44</v>
      </c>
      <c r="AS28" s="51">
        <v>39</v>
      </c>
      <c r="AT28" s="72">
        <v>0.24</v>
      </c>
      <c r="AU28" s="72">
        <v>0.36</v>
      </c>
      <c r="AV28" s="72">
        <v>0.24</v>
      </c>
      <c r="AW28" s="72">
        <v>0.48</v>
      </c>
      <c r="AX28" s="76">
        <v>0.12</v>
      </c>
      <c r="AY28" s="72">
        <v>0.36</v>
      </c>
      <c r="AZ28" s="72">
        <v>0.24</v>
      </c>
      <c r="BA28" s="77">
        <v>0.48</v>
      </c>
      <c r="BB28" s="66">
        <v>0.12</v>
      </c>
      <c r="BC28" s="66">
        <v>0.36</v>
      </c>
      <c r="BD28" s="66">
        <v>0.24</v>
      </c>
      <c r="BE28" s="66">
        <v>0.48</v>
      </c>
      <c r="BI28" s="51">
        <v>40</v>
      </c>
      <c r="BJ28" s="68">
        <v>1.56</v>
      </c>
      <c r="BK28" s="69">
        <v>2.16</v>
      </c>
      <c r="BL28" s="70">
        <v>1.3199999999999998</v>
      </c>
      <c r="BM28" s="69">
        <v>1.7999999999999998</v>
      </c>
      <c r="BN28" s="71">
        <v>1.3199999999999998</v>
      </c>
      <c r="BO28" s="71">
        <v>1.92</v>
      </c>
    </row>
    <row r="29" spans="2:67" x14ac:dyDescent="0.15">
      <c r="B29" s="51">
        <v>42</v>
      </c>
      <c r="C29" s="66">
        <v>0.84</v>
      </c>
      <c r="D29" s="56"/>
      <c r="E29" s="56"/>
      <c r="F29" s="51">
        <v>42</v>
      </c>
      <c r="G29" s="66">
        <v>0.84</v>
      </c>
      <c r="H29" s="56"/>
      <c r="I29" s="56"/>
      <c r="J29" s="51">
        <v>42</v>
      </c>
      <c r="K29" s="66">
        <v>0.36</v>
      </c>
      <c r="N29" s="51">
        <f t="shared" si="0"/>
        <v>42</v>
      </c>
      <c r="O29" s="66">
        <v>9.7199999999999989</v>
      </c>
      <c r="V29" s="51">
        <v>42</v>
      </c>
      <c r="W29" s="66">
        <v>0.96</v>
      </c>
      <c r="AA29" s="51">
        <v>41</v>
      </c>
      <c r="AB29" s="68">
        <v>0.84</v>
      </c>
      <c r="AC29" s="69">
        <v>1.08</v>
      </c>
      <c r="AD29" s="70">
        <v>0.72</v>
      </c>
      <c r="AE29" s="69">
        <v>0.96</v>
      </c>
      <c r="AF29" s="71">
        <v>0.72</v>
      </c>
      <c r="AG29" s="71">
        <v>0.96</v>
      </c>
      <c r="AJ29" s="51">
        <v>41</v>
      </c>
      <c r="AK29" s="68">
        <v>1.3199999999999998</v>
      </c>
      <c r="AL29" s="69">
        <v>1.7999999999999998</v>
      </c>
      <c r="AM29" s="70">
        <v>1.08</v>
      </c>
      <c r="AN29" s="69">
        <v>1.56</v>
      </c>
      <c r="AO29" s="71">
        <v>1.2</v>
      </c>
      <c r="AP29" s="71">
        <v>1.56</v>
      </c>
      <c r="AS29" s="51">
        <v>40</v>
      </c>
      <c r="AT29" s="72">
        <v>0.24</v>
      </c>
      <c r="AU29" s="72">
        <v>0.48</v>
      </c>
      <c r="AV29" s="72">
        <v>0.24</v>
      </c>
      <c r="AW29" s="72">
        <v>0.6</v>
      </c>
      <c r="AX29" s="76">
        <v>0.12</v>
      </c>
      <c r="AY29" s="72">
        <v>0.36</v>
      </c>
      <c r="AZ29" s="72">
        <v>0.24</v>
      </c>
      <c r="BA29" s="77">
        <v>0.48</v>
      </c>
      <c r="BB29" s="66">
        <v>0.24</v>
      </c>
      <c r="BC29" s="66">
        <v>0.36</v>
      </c>
      <c r="BD29" s="66">
        <v>0.24</v>
      </c>
      <c r="BE29" s="66">
        <v>0.48</v>
      </c>
      <c r="BI29" s="51">
        <v>41</v>
      </c>
      <c r="BJ29" s="68">
        <v>1.68</v>
      </c>
      <c r="BK29" s="69">
        <v>2.2799999999999998</v>
      </c>
      <c r="BL29" s="70">
        <v>1.44</v>
      </c>
      <c r="BM29" s="69">
        <v>1.92</v>
      </c>
      <c r="BN29" s="71">
        <v>1.44</v>
      </c>
      <c r="BO29" s="71">
        <v>2.04</v>
      </c>
    </row>
    <row r="30" spans="2:67" x14ac:dyDescent="0.15">
      <c r="B30" s="51">
        <v>43</v>
      </c>
      <c r="C30" s="66">
        <v>0.84</v>
      </c>
      <c r="D30" s="56"/>
      <c r="E30" s="56"/>
      <c r="F30" s="51">
        <v>43</v>
      </c>
      <c r="G30" s="66">
        <v>0.96</v>
      </c>
      <c r="H30" s="56"/>
      <c r="I30" s="56"/>
      <c r="J30" s="51">
        <v>43</v>
      </c>
      <c r="K30" s="66">
        <v>0.36</v>
      </c>
      <c r="N30" s="51">
        <f t="shared" si="0"/>
        <v>43</v>
      </c>
      <c r="O30" s="66">
        <v>10.44</v>
      </c>
      <c r="V30" s="51">
        <v>43</v>
      </c>
      <c r="W30" s="66">
        <v>0.96</v>
      </c>
      <c r="AA30" s="51">
        <v>42</v>
      </c>
      <c r="AB30" s="68">
        <v>0.96</v>
      </c>
      <c r="AC30" s="69">
        <v>1.2</v>
      </c>
      <c r="AD30" s="70">
        <v>0.84</v>
      </c>
      <c r="AE30" s="69">
        <v>0.96</v>
      </c>
      <c r="AF30" s="71">
        <v>0.84</v>
      </c>
      <c r="AG30" s="71">
        <v>1.08</v>
      </c>
      <c r="AJ30" s="51">
        <v>42</v>
      </c>
      <c r="AK30" s="68">
        <v>1.44</v>
      </c>
      <c r="AL30" s="69">
        <v>1.92</v>
      </c>
      <c r="AM30" s="70">
        <v>1.2</v>
      </c>
      <c r="AN30" s="69">
        <v>1.68</v>
      </c>
      <c r="AO30" s="71">
        <v>1.2</v>
      </c>
      <c r="AP30" s="71">
        <v>1.68</v>
      </c>
      <c r="AS30" s="51">
        <v>41</v>
      </c>
      <c r="AT30" s="72">
        <v>0.24</v>
      </c>
      <c r="AU30" s="72">
        <v>0.48</v>
      </c>
      <c r="AV30" s="72">
        <v>0.24</v>
      </c>
      <c r="AW30" s="72">
        <v>0.6</v>
      </c>
      <c r="AX30" s="76">
        <v>0.24</v>
      </c>
      <c r="AY30" s="72">
        <v>0.36</v>
      </c>
      <c r="AZ30" s="72">
        <v>0.24</v>
      </c>
      <c r="BA30" s="77">
        <v>0.48</v>
      </c>
      <c r="BB30" s="66">
        <v>0.24</v>
      </c>
      <c r="BC30" s="66">
        <v>0.36</v>
      </c>
      <c r="BD30" s="66">
        <v>0.24</v>
      </c>
      <c r="BE30" s="66">
        <v>0.48</v>
      </c>
      <c r="BI30" s="51">
        <v>42</v>
      </c>
      <c r="BJ30" s="68">
        <v>1.7999999999999998</v>
      </c>
      <c r="BK30" s="69">
        <v>2.52</v>
      </c>
      <c r="BL30" s="70">
        <v>1.44</v>
      </c>
      <c r="BM30" s="69">
        <v>2.04</v>
      </c>
      <c r="BN30" s="71">
        <v>1.56</v>
      </c>
      <c r="BO30" s="71">
        <v>2.16</v>
      </c>
    </row>
    <row r="31" spans="2:67" x14ac:dyDescent="0.15">
      <c r="B31" s="51">
        <v>44</v>
      </c>
      <c r="C31" s="66">
        <v>0.84</v>
      </c>
      <c r="D31" s="56"/>
      <c r="E31" s="56"/>
      <c r="F31" s="51">
        <v>44</v>
      </c>
      <c r="G31" s="66">
        <v>0.96</v>
      </c>
      <c r="H31" s="56"/>
      <c r="I31" s="56"/>
      <c r="J31" s="51">
        <v>44</v>
      </c>
      <c r="K31" s="66">
        <v>0.36</v>
      </c>
      <c r="N31" s="51">
        <f t="shared" si="0"/>
        <v>44</v>
      </c>
      <c r="O31" s="66">
        <v>11.28</v>
      </c>
      <c r="V31" s="51">
        <v>44</v>
      </c>
      <c r="W31" s="66">
        <v>0.96</v>
      </c>
      <c r="AA31" s="51">
        <v>43</v>
      </c>
      <c r="AB31" s="68">
        <v>1.08</v>
      </c>
      <c r="AC31" s="69">
        <v>1.3199999999999998</v>
      </c>
      <c r="AD31" s="70">
        <v>0.84</v>
      </c>
      <c r="AE31" s="69">
        <v>1.08</v>
      </c>
      <c r="AF31" s="71">
        <v>0.84</v>
      </c>
      <c r="AG31" s="71">
        <v>1.08</v>
      </c>
      <c r="AJ31" s="51">
        <v>43</v>
      </c>
      <c r="AK31" s="68">
        <v>1.56</v>
      </c>
      <c r="AL31" s="69">
        <v>2.16</v>
      </c>
      <c r="AM31" s="70">
        <v>1.3199999999999998</v>
      </c>
      <c r="AN31" s="69">
        <v>1.7999999999999998</v>
      </c>
      <c r="AO31" s="71">
        <v>1.3199999999999998</v>
      </c>
      <c r="AP31" s="71">
        <v>1.7999999999999998</v>
      </c>
      <c r="AS31" s="51">
        <v>42</v>
      </c>
      <c r="AT31" s="72">
        <v>0.24</v>
      </c>
      <c r="AU31" s="72">
        <v>0.48</v>
      </c>
      <c r="AV31" s="72">
        <v>0.24</v>
      </c>
      <c r="AW31" s="72">
        <v>0.6</v>
      </c>
      <c r="AX31" s="76">
        <v>0.24</v>
      </c>
      <c r="AY31" s="72">
        <v>0.36</v>
      </c>
      <c r="AZ31" s="72">
        <v>0.24</v>
      </c>
      <c r="BA31" s="77">
        <v>0.48</v>
      </c>
      <c r="BB31" s="66">
        <v>0.24</v>
      </c>
      <c r="BC31" s="66">
        <v>0.48</v>
      </c>
      <c r="BD31" s="66">
        <v>0.24</v>
      </c>
      <c r="BE31" s="66">
        <v>0.6</v>
      </c>
      <c r="BI31" s="51">
        <v>43</v>
      </c>
      <c r="BJ31" s="68">
        <v>1.92</v>
      </c>
      <c r="BK31" s="69">
        <v>2.6399999999999997</v>
      </c>
      <c r="BL31" s="70">
        <v>1.56</v>
      </c>
      <c r="BM31" s="69">
        <v>2.2799999999999998</v>
      </c>
      <c r="BN31" s="71">
        <v>1.68</v>
      </c>
      <c r="BO31" s="71">
        <v>2.2799999999999998</v>
      </c>
    </row>
    <row r="32" spans="2:67" x14ac:dyDescent="0.15">
      <c r="B32" s="51">
        <v>45</v>
      </c>
      <c r="C32" s="66">
        <v>0.84</v>
      </c>
      <c r="D32" s="56"/>
      <c r="E32" s="56"/>
      <c r="F32" s="51">
        <v>45</v>
      </c>
      <c r="G32" s="66">
        <v>1.08</v>
      </c>
      <c r="H32" s="56"/>
      <c r="I32" s="56"/>
      <c r="J32" s="51">
        <v>45</v>
      </c>
      <c r="K32" s="66">
        <v>0.48</v>
      </c>
      <c r="N32" s="51">
        <f t="shared" si="0"/>
        <v>45</v>
      </c>
      <c r="O32" s="66">
        <v>12.24</v>
      </c>
      <c r="V32" s="51">
        <v>45</v>
      </c>
      <c r="W32" s="66">
        <v>0.96</v>
      </c>
      <c r="AA32" s="51">
        <v>44</v>
      </c>
      <c r="AB32" s="68">
        <v>1.08</v>
      </c>
      <c r="AC32" s="69">
        <v>1.44</v>
      </c>
      <c r="AD32" s="70">
        <v>0.96</v>
      </c>
      <c r="AE32" s="69">
        <v>1.2</v>
      </c>
      <c r="AF32" s="71">
        <v>0.96</v>
      </c>
      <c r="AG32" s="71">
        <v>1.2</v>
      </c>
      <c r="AJ32" s="51">
        <v>44</v>
      </c>
      <c r="AK32" s="68">
        <v>1.68</v>
      </c>
      <c r="AL32" s="69">
        <v>2.2799999999999998</v>
      </c>
      <c r="AM32" s="70">
        <v>1.3199999999999998</v>
      </c>
      <c r="AN32" s="69">
        <v>1.92</v>
      </c>
      <c r="AO32" s="71">
        <v>1.44</v>
      </c>
      <c r="AP32" s="71">
        <v>1.92</v>
      </c>
      <c r="AS32" s="51">
        <v>43</v>
      </c>
      <c r="AT32" s="72">
        <v>0.24</v>
      </c>
      <c r="AU32" s="72">
        <v>0.6</v>
      </c>
      <c r="AV32" s="72">
        <v>0.36</v>
      </c>
      <c r="AW32" s="72">
        <v>0.72</v>
      </c>
      <c r="AX32" s="76">
        <v>0.24</v>
      </c>
      <c r="AY32" s="72">
        <v>0.48</v>
      </c>
      <c r="AZ32" s="72">
        <v>0.24</v>
      </c>
      <c r="BA32" s="77">
        <v>0.6</v>
      </c>
      <c r="BB32" s="66">
        <v>0.24</v>
      </c>
      <c r="BC32" s="66">
        <v>0.48</v>
      </c>
      <c r="BD32" s="66">
        <v>0.24</v>
      </c>
      <c r="BE32" s="66">
        <v>0.6</v>
      </c>
      <c r="BI32" s="51">
        <v>44</v>
      </c>
      <c r="BJ32" s="68">
        <v>2.04</v>
      </c>
      <c r="BK32" s="69">
        <v>2.88</v>
      </c>
      <c r="BL32" s="70">
        <v>1.68</v>
      </c>
      <c r="BM32" s="69">
        <v>2.4</v>
      </c>
      <c r="BN32" s="71">
        <v>1.7999999999999998</v>
      </c>
      <c r="BO32" s="71">
        <v>2.52</v>
      </c>
    </row>
    <row r="33" spans="2:67" x14ac:dyDescent="0.15">
      <c r="B33" s="51">
        <v>46</v>
      </c>
      <c r="C33" s="66">
        <v>0.96</v>
      </c>
      <c r="D33" s="56"/>
      <c r="E33" s="56"/>
      <c r="F33" s="51">
        <v>46</v>
      </c>
      <c r="G33" s="66">
        <v>1.08</v>
      </c>
      <c r="H33" s="56"/>
      <c r="I33" s="56"/>
      <c r="J33" s="51">
        <v>46</v>
      </c>
      <c r="K33" s="66">
        <v>0.48</v>
      </c>
      <c r="N33" s="51">
        <f t="shared" si="0"/>
        <v>46</v>
      </c>
      <c r="O33" s="66">
        <v>12.719999999999999</v>
      </c>
      <c r="V33" s="51">
        <v>46</v>
      </c>
      <c r="W33" s="66">
        <v>0.96</v>
      </c>
      <c r="AA33" s="51">
        <v>45</v>
      </c>
      <c r="AB33" s="68">
        <v>1.2</v>
      </c>
      <c r="AC33" s="69">
        <v>1.44</v>
      </c>
      <c r="AD33" s="70">
        <v>0.96</v>
      </c>
      <c r="AE33" s="69">
        <v>1.2</v>
      </c>
      <c r="AF33" s="71">
        <v>1.08</v>
      </c>
      <c r="AG33" s="71">
        <v>1.3199999999999998</v>
      </c>
      <c r="AJ33" s="51">
        <v>45</v>
      </c>
      <c r="AK33" s="68">
        <v>1.7999999999999998</v>
      </c>
      <c r="AL33" s="69">
        <v>2.52</v>
      </c>
      <c r="AM33" s="70">
        <v>1.44</v>
      </c>
      <c r="AN33" s="69">
        <v>2.04</v>
      </c>
      <c r="AO33" s="71">
        <v>1.56</v>
      </c>
      <c r="AP33" s="71">
        <v>2.16</v>
      </c>
      <c r="AS33" s="51">
        <v>44</v>
      </c>
      <c r="AT33" s="72">
        <v>0.24</v>
      </c>
      <c r="AU33" s="72">
        <v>0.6</v>
      </c>
      <c r="AV33" s="72">
        <v>0.36</v>
      </c>
      <c r="AW33" s="72">
        <v>0.72</v>
      </c>
      <c r="AX33" s="76">
        <v>0.24</v>
      </c>
      <c r="AY33" s="72">
        <v>0.48</v>
      </c>
      <c r="AZ33" s="72">
        <v>0.24</v>
      </c>
      <c r="BA33" s="77">
        <v>0.6</v>
      </c>
      <c r="BB33" s="66">
        <v>0.24</v>
      </c>
      <c r="BC33" s="66">
        <v>0.48</v>
      </c>
      <c r="BD33" s="66">
        <v>0.24</v>
      </c>
      <c r="BE33" s="66">
        <v>0.6</v>
      </c>
      <c r="BI33" s="51">
        <v>45</v>
      </c>
      <c r="BJ33" s="68">
        <v>2.2799999999999998</v>
      </c>
      <c r="BK33" s="69">
        <v>3.12</v>
      </c>
      <c r="BL33" s="70">
        <v>1.7999999999999998</v>
      </c>
      <c r="BM33" s="69">
        <v>2.6399999999999997</v>
      </c>
      <c r="BN33" s="71">
        <v>1.92</v>
      </c>
      <c r="BO33" s="71">
        <v>2.6399999999999997</v>
      </c>
    </row>
    <row r="34" spans="2:67" x14ac:dyDescent="0.15">
      <c r="B34" s="51">
        <v>47</v>
      </c>
      <c r="C34" s="66">
        <v>0.96</v>
      </c>
      <c r="D34" s="56"/>
      <c r="E34" s="56"/>
      <c r="F34" s="51">
        <v>47</v>
      </c>
      <c r="G34" s="66">
        <v>1.08</v>
      </c>
      <c r="H34" s="56"/>
      <c r="I34" s="56"/>
      <c r="J34" s="51">
        <v>47</v>
      </c>
      <c r="K34" s="66">
        <v>0.48</v>
      </c>
      <c r="N34" s="51">
        <f t="shared" si="0"/>
        <v>47</v>
      </c>
      <c r="O34" s="66">
        <v>13.2</v>
      </c>
      <c r="V34" s="51">
        <v>47</v>
      </c>
      <c r="W34" s="66">
        <v>0.96</v>
      </c>
      <c r="AA34" s="51">
        <v>46</v>
      </c>
      <c r="AB34" s="68">
        <v>1.3199999999999998</v>
      </c>
      <c r="AC34" s="69">
        <v>1.56</v>
      </c>
      <c r="AD34" s="70">
        <v>1.08</v>
      </c>
      <c r="AE34" s="69">
        <v>1.3199999999999998</v>
      </c>
      <c r="AF34" s="71">
        <v>1.08</v>
      </c>
      <c r="AG34" s="71">
        <v>1.44</v>
      </c>
      <c r="AJ34" s="51">
        <v>46</v>
      </c>
      <c r="AK34" s="68">
        <v>1.92</v>
      </c>
      <c r="AL34" s="69">
        <v>2.6399999999999997</v>
      </c>
      <c r="AM34" s="70">
        <v>1.56</v>
      </c>
      <c r="AN34" s="69">
        <v>2.16</v>
      </c>
      <c r="AO34" s="71">
        <v>1.68</v>
      </c>
      <c r="AP34" s="71">
        <v>2.2799999999999998</v>
      </c>
      <c r="AS34" s="51">
        <v>45</v>
      </c>
      <c r="AT34" s="72">
        <v>0.24</v>
      </c>
      <c r="AU34" s="72">
        <v>0.6</v>
      </c>
      <c r="AV34" s="72">
        <v>0.36</v>
      </c>
      <c r="AW34" s="72">
        <v>0.84</v>
      </c>
      <c r="AX34" s="76">
        <v>0.24</v>
      </c>
      <c r="AY34" s="72">
        <v>0.48</v>
      </c>
      <c r="AZ34" s="72">
        <v>0.36</v>
      </c>
      <c r="BA34" s="77">
        <v>0.72</v>
      </c>
      <c r="BB34" s="66">
        <v>0.24</v>
      </c>
      <c r="BC34" s="66">
        <v>0.6</v>
      </c>
      <c r="BD34" s="66">
        <v>0.36</v>
      </c>
      <c r="BE34" s="66">
        <v>0.72</v>
      </c>
      <c r="BI34" s="51">
        <v>46</v>
      </c>
      <c r="BJ34" s="68">
        <v>2.4</v>
      </c>
      <c r="BK34" s="69">
        <v>3.36</v>
      </c>
      <c r="BL34" s="70">
        <v>1.92</v>
      </c>
      <c r="BM34" s="69">
        <v>2.76</v>
      </c>
      <c r="BN34" s="71">
        <v>2.04</v>
      </c>
      <c r="BO34" s="71">
        <v>2.88</v>
      </c>
    </row>
    <row r="35" spans="2:67" x14ac:dyDescent="0.15">
      <c r="B35" s="51">
        <v>48</v>
      </c>
      <c r="C35" s="66">
        <v>1.08</v>
      </c>
      <c r="D35" s="56"/>
      <c r="E35" s="56"/>
      <c r="F35" s="51">
        <v>48</v>
      </c>
      <c r="G35" s="66">
        <v>1.2</v>
      </c>
      <c r="H35" s="56"/>
      <c r="I35" s="56"/>
      <c r="J35" s="51">
        <v>48</v>
      </c>
      <c r="K35" s="66">
        <v>0.48</v>
      </c>
      <c r="N35" s="51">
        <f t="shared" si="0"/>
        <v>48</v>
      </c>
      <c r="O35" s="66">
        <v>13.799999999999999</v>
      </c>
      <c r="V35" s="51">
        <v>48</v>
      </c>
      <c r="W35" s="66">
        <v>0.96</v>
      </c>
      <c r="AA35" s="51">
        <v>47</v>
      </c>
      <c r="AB35" s="68">
        <v>1.44</v>
      </c>
      <c r="AC35" s="69">
        <v>1.68</v>
      </c>
      <c r="AD35" s="70">
        <v>1.2</v>
      </c>
      <c r="AE35" s="69">
        <v>1.44</v>
      </c>
      <c r="AF35" s="71">
        <v>1.2</v>
      </c>
      <c r="AG35" s="71">
        <v>1.44</v>
      </c>
      <c r="AJ35" s="51">
        <v>47</v>
      </c>
      <c r="AK35" s="68">
        <v>2.04</v>
      </c>
      <c r="AL35" s="69">
        <v>2.88</v>
      </c>
      <c r="AM35" s="70">
        <v>1.68</v>
      </c>
      <c r="AN35" s="69">
        <v>2.4</v>
      </c>
      <c r="AO35" s="71">
        <v>1.7999999999999998</v>
      </c>
      <c r="AP35" s="71">
        <v>2.4</v>
      </c>
      <c r="AS35" s="51">
        <v>46</v>
      </c>
      <c r="AT35" s="72">
        <v>0.36</v>
      </c>
      <c r="AU35" s="72">
        <v>0.72</v>
      </c>
      <c r="AV35" s="72">
        <v>0.36</v>
      </c>
      <c r="AW35" s="72">
        <v>0.84</v>
      </c>
      <c r="AX35" s="76">
        <v>0.24</v>
      </c>
      <c r="AY35" s="72">
        <v>0.6</v>
      </c>
      <c r="AZ35" s="72">
        <v>0.36</v>
      </c>
      <c r="BA35" s="77">
        <v>0.72</v>
      </c>
      <c r="BB35" s="66">
        <v>0.24</v>
      </c>
      <c r="BC35" s="66">
        <v>0.6</v>
      </c>
      <c r="BD35" s="66">
        <v>0.36</v>
      </c>
      <c r="BE35" s="66">
        <v>0.72</v>
      </c>
      <c r="BI35" s="51">
        <v>47</v>
      </c>
      <c r="BJ35" s="68">
        <v>2.6399999999999997</v>
      </c>
      <c r="BK35" s="69">
        <v>3.5999999999999996</v>
      </c>
      <c r="BL35" s="70">
        <v>2.16</v>
      </c>
      <c r="BM35" s="69">
        <v>3</v>
      </c>
      <c r="BN35" s="71">
        <v>2.16</v>
      </c>
      <c r="BO35" s="71">
        <v>3.12</v>
      </c>
    </row>
    <row r="36" spans="2:67" x14ac:dyDescent="0.15">
      <c r="B36" s="51">
        <v>49</v>
      </c>
      <c r="C36" s="66">
        <v>1.08</v>
      </c>
      <c r="D36" s="56"/>
      <c r="E36" s="56"/>
      <c r="F36" s="51">
        <v>49</v>
      </c>
      <c r="G36" s="66">
        <v>1.3199999999999998</v>
      </c>
      <c r="H36" s="56"/>
      <c r="I36" s="56"/>
      <c r="J36" s="51">
        <v>49</v>
      </c>
      <c r="K36" s="66">
        <v>0.48</v>
      </c>
      <c r="N36" s="51">
        <f t="shared" si="0"/>
        <v>49</v>
      </c>
      <c r="O36" s="66">
        <v>14.28</v>
      </c>
      <c r="V36" s="51">
        <v>49</v>
      </c>
      <c r="W36" s="66">
        <v>0.96</v>
      </c>
      <c r="AA36" s="51">
        <v>48</v>
      </c>
      <c r="AB36" s="68">
        <v>1.56</v>
      </c>
      <c r="AC36" s="69">
        <v>1.92</v>
      </c>
      <c r="AD36" s="70">
        <v>1.2</v>
      </c>
      <c r="AE36" s="69">
        <v>1.56</v>
      </c>
      <c r="AF36" s="71">
        <v>1.3199999999999998</v>
      </c>
      <c r="AG36" s="71">
        <v>1.56</v>
      </c>
      <c r="AJ36" s="51">
        <v>48</v>
      </c>
      <c r="AK36" s="68">
        <v>2.2799999999999998</v>
      </c>
      <c r="AL36" s="69">
        <v>3.12</v>
      </c>
      <c r="AM36" s="70">
        <v>1.7999999999999998</v>
      </c>
      <c r="AN36" s="69">
        <v>2.52</v>
      </c>
      <c r="AO36" s="71">
        <v>1.92</v>
      </c>
      <c r="AP36" s="71">
        <v>2.6399999999999997</v>
      </c>
      <c r="AS36" s="51">
        <v>47</v>
      </c>
      <c r="AT36" s="72">
        <v>0.36</v>
      </c>
      <c r="AU36" s="72">
        <v>0.72</v>
      </c>
      <c r="AV36" s="72">
        <v>0.48</v>
      </c>
      <c r="AW36" s="72">
        <v>0.96</v>
      </c>
      <c r="AX36" s="76">
        <v>0.24</v>
      </c>
      <c r="AY36" s="72">
        <v>0.6</v>
      </c>
      <c r="AZ36" s="72">
        <v>0.36</v>
      </c>
      <c r="BA36" s="77">
        <v>0.72</v>
      </c>
      <c r="BB36" s="66">
        <v>0.36</v>
      </c>
      <c r="BC36" s="66">
        <v>0.6</v>
      </c>
      <c r="BD36" s="66">
        <v>0.36</v>
      </c>
      <c r="BE36" s="66">
        <v>0.84</v>
      </c>
      <c r="BI36" s="51">
        <v>48</v>
      </c>
      <c r="BJ36" s="68">
        <v>2.76</v>
      </c>
      <c r="BK36" s="69">
        <v>3.96</v>
      </c>
      <c r="BL36" s="70">
        <v>2.2799999999999998</v>
      </c>
      <c r="BM36" s="69">
        <v>3.2399999999999998</v>
      </c>
      <c r="BN36" s="71">
        <v>2.4</v>
      </c>
      <c r="BO36" s="71">
        <v>3.36</v>
      </c>
    </row>
    <row r="37" spans="2:67" x14ac:dyDescent="0.15">
      <c r="B37" s="51">
        <v>50</v>
      </c>
      <c r="C37" s="66">
        <v>1.2</v>
      </c>
      <c r="D37" s="56"/>
      <c r="E37" s="56"/>
      <c r="F37" s="51">
        <v>50</v>
      </c>
      <c r="G37" s="66">
        <v>1.3199999999999998</v>
      </c>
      <c r="H37" s="56"/>
      <c r="I37" s="56"/>
      <c r="J37" s="51">
        <v>50</v>
      </c>
      <c r="K37" s="66">
        <v>0.6</v>
      </c>
      <c r="N37" s="54">
        <f t="shared" si="0"/>
        <v>50</v>
      </c>
      <c r="O37" s="81">
        <v>14.76</v>
      </c>
      <c r="V37" s="51">
        <v>50</v>
      </c>
      <c r="W37" s="66">
        <v>0.96</v>
      </c>
      <c r="AA37" s="51">
        <v>49</v>
      </c>
      <c r="AB37" s="68">
        <v>1.68</v>
      </c>
      <c r="AC37" s="69">
        <v>2.04</v>
      </c>
      <c r="AD37" s="70">
        <v>1.3199999999999998</v>
      </c>
      <c r="AE37" s="69">
        <v>1.68</v>
      </c>
      <c r="AF37" s="71">
        <v>1.44</v>
      </c>
      <c r="AG37" s="71">
        <v>1.68</v>
      </c>
      <c r="AJ37" s="51">
        <v>49</v>
      </c>
      <c r="AK37" s="68">
        <v>2.4</v>
      </c>
      <c r="AL37" s="69">
        <v>3.36</v>
      </c>
      <c r="AM37" s="70">
        <v>2.04</v>
      </c>
      <c r="AN37" s="69">
        <v>2.76</v>
      </c>
      <c r="AO37" s="71">
        <v>2.04</v>
      </c>
      <c r="AP37" s="71">
        <v>2.88</v>
      </c>
      <c r="AS37" s="51">
        <v>48</v>
      </c>
      <c r="AT37" s="72">
        <v>0.36</v>
      </c>
      <c r="AU37" s="72">
        <v>0.84</v>
      </c>
      <c r="AV37" s="72">
        <v>0.48</v>
      </c>
      <c r="AW37" s="72">
        <v>0.96</v>
      </c>
      <c r="AX37" s="76">
        <v>0.36</v>
      </c>
      <c r="AY37" s="72">
        <v>0.6</v>
      </c>
      <c r="AZ37" s="72">
        <v>0.36</v>
      </c>
      <c r="BA37" s="77">
        <v>0.84</v>
      </c>
      <c r="BB37" s="66">
        <v>0.36</v>
      </c>
      <c r="BC37" s="66">
        <v>0.72</v>
      </c>
      <c r="BD37" s="66">
        <v>0.36</v>
      </c>
      <c r="BE37" s="66">
        <v>0.84</v>
      </c>
      <c r="BI37" s="51">
        <v>49</v>
      </c>
      <c r="BJ37" s="68">
        <v>3</v>
      </c>
      <c r="BK37" s="69">
        <v>4.2</v>
      </c>
      <c r="BL37" s="70">
        <v>2.4</v>
      </c>
      <c r="BM37" s="69">
        <v>3.48</v>
      </c>
      <c r="BN37" s="71">
        <v>2.52</v>
      </c>
      <c r="BO37" s="71">
        <v>3.5999999999999996</v>
      </c>
    </row>
    <row r="38" spans="2:67" x14ac:dyDescent="0.15">
      <c r="B38" s="51">
        <v>51</v>
      </c>
      <c r="C38" s="66">
        <v>1.2</v>
      </c>
      <c r="D38" s="56"/>
      <c r="E38" s="56"/>
      <c r="F38" s="51">
        <v>51</v>
      </c>
      <c r="G38" s="66">
        <v>1.44</v>
      </c>
      <c r="H38" s="56"/>
      <c r="I38" s="56"/>
      <c r="J38" s="51">
        <v>51</v>
      </c>
      <c r="K38" s="66">
        <v>0.6</v>
      </c>
      <c r="V38" s="51">
        <v>51</v>
      </c>
      <c r="W38" s="66">
        <v>0.96</v>
      </c>
      <c r="AA38" s="51">
        <v>50</v>
      </c>
      <c r="AB38" s="68">
        <v>1.7999999999999998</v>
      </c>
      <c r="AC38" s="69">
        <v>2.16</v>
      </c>
      <c r="AD38" s="70">
        <v>1.44</v>
      </c>
      <c r="AE38" s="69">
        <v>1.7999999999999998</v>
      </c>
      <c r="AF38" s="71">
        <v>1.56</v>
      </c>
      <c r="AG38" s="71">
        <v>1.92</v>
      </c>
      <c r="AJ38" s="51">
        <v>50</v>
      </c>
      <c r="AK38" s="68">
        <v>2.6399999999999997</v>
      </c>
      <c r="AL38" s="69">
        <v>3.5999999999999996</v>
      </c>
      <c r="AM38" s="70">
        <v>2.16</v>
      </c>
      <c r="AN38" s="69">
        <v>3</v>
      </c>
      <c r="AO38" s="71">
        <v>2.2799999999999998</v>
      </c>
      <c r="AP38" s="71">
        <v>3.12</v>
      </c>
      <c r="AS38" s="51">
        <v>49</v>
      </c>
      <c r="AT38" s="72">
        <v>0.36</v>
      </c>
      <c r="AU38" s="72">
        <v>0.84</v>
      </c>
      <c r="AV38" s="72">
        <v>0.48</v>
      </c>
      <c r="AW38" s="72">
        <v>1.08</v>
      </c>
      <c r="AX38" s="76">
        <v>0.36</v>
      </c>
      <c r="AY38" s="72">
        <v>0.72</v>
      </c>
      <c r="AZ38" s="72">
        <v>0.36</v>
      </c>
      <c r="BA38" s="77">
        <v>0.84</v>
      </c>
      <c r="BB38" s="66">
        <v>0.36</v>
      </c>
      <c r="BC38" s="66">
        <v>0.72</v>
      </c>
      <c r="BD38" s="66">
        <v>0.48</v>
      </c>
      <c r="BE38" s="66">
        <v>0.96</v>
      </c>
      <c r="BI38" s="51">
        <v>50</v>
      </c>
      <c r="BJ38" s="68">
        <v>3.2399999999999998</v>
      </c>
      <c r="BK38" s="69">
        <v>4.68</v>
      </c>
      <c r="BL38" s="70">
        <v>2.6399999999999997</v>
      </c>
      <c r="BM38" s="69">
        <v>3.7199999999999998</v>
      </c>
      <c r="BN38" s="71">
        <v>2.76</v>
      </c>
      <c r="BO38" s="71">
        <v>3.96</v>
      </c>
    </row>
    <row r="39" spans="2:67" x14ac:dyDescent="0.15">
      <c r="B39" s="51">
        <v>52</v>
      </c>
      <c r="C39" s="66">
        <v>1.3199999999999998</v>
      </c>
      <c r="D39" s="56"/>
      <c r="E39" s="56"/>
      <c r="F39" s="51">
        <v>52</v>
      </c>
      <c r="G39" s="66">
        <v>1.56</v>
      </c>
      <c r="H39" s="56"/>
      <c r="I39" s="56"/>
      <c r="J39" s="51">
        <v>52</v>
      </c>
      <c r="K39" s="66">
        <v>0.6</v>
      </c>
      <c r="V39" s="51">
        <v>52</v>
      </c>
      <c r="W39" s="66">
        <v>0.96</v>
      </c>
      <c r="AA39" s="51">
        <v>51</v>
      </c>
      <c r="AB39" s="68">
        <v>1.92</v>
      </c>
      <c r="AC39" s="69">
        <v>2.4</v>
      </c>
      <c r="AD39" s="70">
        <v>1.56</v>
      </c>
      <c r="AE39" s="69">
        <v>1.92</v>
      </c>
      <c r="AF39" s="71">
        <v>1.68</v>
      </c>
      <c r="AG39" s="71">
        <v>2.04</v>
      </c>
      <c r="AJ39" s="51">
        <v>51</v>
      </c>
      <c r="AK39" s="68">
        <v>2.88</v>
      </c>
      <c r="AL39" s="69">
        <v>3.96</v>
      </c>
      <c r="AM39" s="70">
        <v>2.2799999999999998</v>
      </c>
      <c r="AN39" s="69">
        <v>3.2399999999999998</v>
      </c>
      <c r="AO39" s="71">
        <v>2.4</v>
      </c>
      <c r="AP39" s="71">
        <v>3.36</v>
      </c>
      <c r="AS39" s="51">
        <v>50</v>
      </c>
      <c r="AT39" s="72">
        <v>0.48</v>
      </c>
      <c r="AU39" s="72">
        <v>0.96</v>
      </c>
      <c r="AV39" s="72">
        <v>0.6</v>
      </c>
      <c r="AW39" s="72">
        <v>1.2</v>
      </c>
      <c r="AX39" s="76">
        <v>0.36</v>
      </c>
      <c r="AY39" s="72">
        <v>0.72</v>
      </c>
      <c r="AZ39" s="72">
        <v>0.48</v>
      </c>
      <c r="BA39" s="77">
        <v>0.96</v>
      </c>
      <c r="BB39" s="66">
        <v>0.36</v>
      </c>
      <c r="BC39" s="66">
        <v>0.84</v>
      </c>
      <c r="BD39" s="66">
        <v>0.48</v>
      </c>
      <c r="BE39" s="66">
        <v>0.96</v>
      </c>
      <c r="BI39" s="51">
        <v>51</v>
      </c>
      <c r="BJ39" s="68">
        <v>3.5999999999999996</v>
      </c>
      <c r="BK39" s="69">
        <v>5.04</v>
      </c>
      <c r="BL39" s="70">
        <v>2.88</v>
      </c>
      <c r="BM39" s="69">
        <v>4.08</v>
      </c>
      <c r="BN39" s="71">
        <v>3</v>
      </c>
      <c r="BO39" s="71">
        <v>4.2</v>
      </c>
    </row>
    <row r="40" spans="2:67" x14ac:dyDescent="0.15">
      <c r="B40" s="51">
        <v>53</v>
      </c>
      <c r="C40" s="66">
        <v>1.44</v>
      </c>
      <c r="D40" s="56"/>
      <c r="E40" s="56"/>
      <c r="F40" s="51">
        <v>53</v>
      </c>
      <c r="G40" s="66">
        <v>1.56</v>
      </c>
      <c r="H40" s="56"/>
      <c r="I40" s="56"/>
      <c r="J40" s="51">
        <v>53</v>
      </c>
      <c r="K40" s="66">
        <v>0.72</v>
      </c>
      <c r="V40" s="51">
        <v>53</v>
      </c>
      <c r="W40" s="66">
        <v>0.96</v>
      </c>
      <c r="AA40" s="51">
        <v>52</v>
      </c>
      <c r="AB40" s="68">
        <v>2.04</v>
      </c>
      <c r="AC40" s="69">
        <v>2.6399999999999997</v>
      </c>
      <c r="AD40" s="70">
        <v>1.68</v>
      </c>
      <c r="AE40" s="69">
        <v>2.04</v>
      </c>
      <c r="AF40" s="71">
        <v>1.7999999999999998</v>
      </c>
      <c r="AG40" s="71">
        <v>2.16</v>
      </c>
      <c r="AJ40" s="51">
        <v>52</v>
      </c>
      <c r="AK40" s="68">
        <v>3.12</v>
      </c>
      <c r="AL40" s="69">
        <v>4.32</v>
      </c>
      <c r="AM40" s="70">
        <v>2.52</v>
      </c>
      <c r="AN40" s="69">
        <v>3.48</v>
      </c>
      <c r="AO40" s="71">
        <v>2.6399999999999997</v>
      </c>
      <c r="AP40" s="71">
        <v>3.5999999999999996</v>
      </c>
      <c r="AS40" s="51">
        <v>51</v>
      </c>
      <c r="AT40" s="72">
        <v>0.48</v>
      </c>
      <c r="AU40" s="72">
        <v>0.96</v>
      </c>
      <c r="AV40" s="72">
        <v>0.6</v>
      </c>
      <c r="AW40" s="72">
        <v>1.3199999999999998</v>
      </c>
      <c r="AX40" s="76">
        <v>0.36</v>
      </c>
      <c r="AY40" s="72">
        <v>0.84</v>
      </c>
      <c r="AZ40" s="72">
        <v>0.48</v>
      </c>
      <c r="BA40" s="77">
        <v>1.08</v>
      </c>
      <c r="BB40" s="66">
        <v>0.36</v>
      </c>
      <c r="BC40" s="66">
        <v>0.84</v>
      </c>
      <c r="BD40" s="66">
        <v>0.48</v>
      </c>
      <c r="BE40" s="66">
        <v>1.08</v>
      </c>
      <c r="BI40" s="51">
        <v>52</v>
      </c>
      <c r="BJ40" s="68">
        <v>3.84</v>
      </c>
      <c r="BK40" s="69">
        <v>5.3999999999999995</v>
      </c>
      <c r="BL40" s="70">
        <v>3.12</v>
      </c>
      <c r="BM40" s="69">
        <v>4.4399999999999995</v>
      </c>
      <c r="BN40" s="71">
        <v>3.2399999999999998</v>
      </c>
      <c r="BO40" s="71">
        <v>4.5599999999999996</v>
      </c>
    </row>
    <row r="41" spans="2:67" x14ac:dyDescent="0.15">
      <c r="B41" s="51">
        <v>54</v>
      </c>
      <c r="C41" s="66">
        <v>1.44</v>
      </c>
      <c r="D41" s="56"/>
      <c r="E41" s="56"/>
      <c r="F41" s="51">
        <v>54</v>
      </c>
      <c r="G41" s="66">
        <v>1.68</v>
      </c>
      <c r="H41" s="56"/>
      <c r="I41" s="56"/>
      <c r="J41" s="51">
        <v>54</v>
      </c>
      <c r="K41" s="66">
        <v>0.72</v>
      </c>
      <c r="V41" s="51">
        <v>54</v>
      </c>
      <c r="W41" s="66">
        <v>0.96</v>
      </c>
      <c r="AA41" s="51">
        <v>53</v>
      </c>
      <c r="AB41" s="68">
        <v>2.2799999999999998</v>
      </c>
      <c r="AC41" s="69">
        <v>2.76</v>
      </c>
      <c r="AD41" s="70">
        <v>1.7999999999999998</v>
      </c>
      <c r="AE41" s="69">
        <v>2.2799999999999998</v>
      </c>
      <c r="AF41" s="71">
        <v>1.92</v>
      </c>
      <c r="AG41" s="71">
        <v>2.4</v>
      </c>
      <c r="AJ41" s="51">
        <v>53</v>
      </c>
      <c r="AK41" s="68">
        <v>3.36</v>
      </c>
      <c r="AL41" s="69">
        <v>4.68</v>
      </c>
      <c r="AM41" s="70">
        <v>2.76</v>
      </c>
      <c r="AN41" s="69">
        <v>3.7199999999999998</v>
      </c>
      <c r="AO41" s="71">
        <v>2.88</v>
      </c>
      <c r="AP41" s="71">
        <v>3.96</v>
      </c>
      <c r="AS41" s="51">
        <v>52</v>
      </c>
      <c r="AT41" s="72">
        <v>0.48</v>
      </c>
      <c r="AU41" s="72">
        <v>1.08</v>
      </c>
      <c r="AV41" s="72">
        <v>0.6</v>
      </c>
      <c r="AW41" s="72">
        <v>1.44</v>
      </c>
      <c r="AX41" s="76">
        <v>0.36</v>
      </c>
      <c r="AY41" s="72">
        <v>0.84</v>
      </c>
      <c r="AZ41" s="72">
        <v>0.48</v>
      </c>
      <c r="BA41" s="77">
        <v>1.08</v>
      </c>
      <c r="BB41" s="66">
        <v>0.48</v>
      </c>
      <c r="BC41" s="66">
        <v>0.96</v>
      </c>
      <c r="BD41" s="66">
        <v>0.6</v>
      </c>
      <c r="BE41" s="66">
        <v>1.2</v>
      </c>
      <c r="BI41" s="51">
        <v>53</v>
      </c>
      <c r="BJ41" s="68">
        <v>4.2</v>
      </c>
      <c r="BK41" s="69">
        <v>5.88</v>
      </c>
      <c r="BL41" s="70">
        <v>3.36</v>
      </c>
      <c r="BM41" s="69">
        <v>4.8</v>
      </c>
      <c r="BN41" s="71">
        <v>3.48</v>
      </c>
      <c r="BO41" s="71">
        <v>4.92</v>
      </c>
    </row>
    <row r="42" spans="2:67" x14ac:dyDescent="0.15">
      <c r="B42" s="51">
        <v>55</v>
      </c>
      <c r="C42" s="66">
        <v>1.56</v>
      </c>
      <c r="D42" s="56"/>
      <c r="E42" s="56"/>
      <c r="F42" s="51">
        <v>55</v>
      </c>
      <c r="G42" s="66">
        <v>1.7999999999999998</v>
      </c>
      <c r="H42" s="56"/>
      <c r="I42" s="56"/>
      <c r="J42" s="51">
        <v>55</v>
      </c>
      <c r="K42" s="66">
        <v>0.72</v>
      </c>
      <c r="V42" s="51">
        <v>55</v>
      </c>
      <c r="W42" s="66">
        <v>0.96</v>
      </c>
      <c r="AA42" s="51">
        <v>54</v>
      </c>
      <c r="AB42" s="68">
        <v>2.4</v>
      </c>
      <c r="AC42" s="69">
        <v>3</v>
      </c>
      <c r="AD42" s="70">
        <v>1.92</v>
      </c>
      <c r="AE42" s="69">
        <v>2.4</v>
      </c>
      <c r="AF42" s="71">
        <v>2.04</v>
      </c>
      <c r="AG42" s="71">
        <v>2.52</v>
      </c>
      <c r="AJ42" s="51">
        <v>54</v>
      </c>
      <c r="AK42" s="68">
        <v>3.5999999999999996</v>
      </c>
      <c r="AL42" s="69">
        <v>5.04</v>
      </c>
      <c r="AM42" s="70">
        <v>2.88</v>
      </c>
      <c r="AN42" s="69">
        <v>4.08</v>
      </c>
      <c r="AO42" s="71">
        <v>3</v>
      </c>
      <c r="AP42" s="71">
        <v>4.2</v>
      </c>
      <c r="AS42" s="51">
        <v>53</v>
      </c>
      <c r="AT42" s="72">
        <v>0.6</v>
      </c>
      <c r="AU42" s="72">
        <v>1.2</v>
      </c>
      <c r="AV42" s="72">
        <v>0.72</v>
      </c>
      <c r="AW42" s="72">
        <v>1.56</v>
      </c>
      <c r="AX42" s="76">
        <v>0.48</v>
      </c>
      <c r="AY42" s="72">
        <v>0.96</v>
      </c>
      <c r="AZ42" s="72">
        <v>0.6</v>
      </c>
      <c r="BA42" s="77">
        <v>1.2</v>
      </c>
      <c r="BB42" s="66">
        <v>0.48</v>
      </c>
      <c r="BC42" s="66">
        <v>0.96</v>
      </c>
      <c r="BD42" s="66">
        <v>0.6</v>
      </c>
      <c r="BE42" s="66">
        <v>1.3199999999999998</v>
      </c>
      <c r="BI42" s="51">
        <v>54</v>
      </c>
      <c r="BJ42" s="68">
        <v>4.5599999999999996</v>
      </c>
      <c r="BK42" s="69">
        <v>6.3599999999999994</v>
      </c>
      <c r="BL42" s="70">
        <v>3.5999999999999996</v>
      </c>
      <c r="BM42" s="69">
        <v>5.16</v>
      </c>
      <c r="BN42" s="71">
        <v>3.84</v>
      </c>
      <c r="BO42" s="71">
        <v>5.3999999999999995</v>
      </c>
    </row>
    <row r="43" spans="2:67" x14ac:dyDescent="0.15">
      <c r="B43" s="51">
        <v>56</v>
      </c>
      <c r="C43" s="66">
        <v>1.68</v>
      </c>
      <c r="D43" s="56"/>
      <c r="E43" s="56"/>
      <c r="F43" s="51">
        <v>56</v>
      </c>
      <c r="G43" s="66">
        <v>1.92</v>
      </c>
      <c r="H43" s="56"/>
      <c r="I43" s="56"/>
      <c r="J43" s="51">
        <v>56</v>
      </c>
      <c r="K43" s="66">
        <v>0.84</v>
      </c>
      <c r="V43" s="51">
        <v>56</v>
      </c>
      <c r="W43" s="66">
        <v>0.96</v>
      </c>
      <c r="AA43" s="51">
        <v>55</v>
      </c>
      <c r="AB43" s="68">
        <v>2.6399999999999997</v>
      </c>
      <c r="AC43" s="69">
        <v>3.36</v>
      </c>
      <c r="AD43" s="70">
        <v>2.16</v>
      </c>
      <c r="AE43" s="69">
        <v>2.6399999999999997</v>
      </c>
      <c r="AF43" s="71">
        <v>2.2799999999999998</v>
      </c>
      <c r="AG43" s="71">
        <v>2.76</v>
      </c>
      <c r="AJ43" s="51">
        <v>55</v>
      </c>
      <c r="AK43" s="68">
        <v>3.96</v>
      </c>
      <c r="AL43" s="69">
        <v>5.52</v>
      </c>
      <c r="AM43" s="70">
        <v>3.12</v>
      </c>
      <c r="AN43" s="69">
        <v>4.4399999999999995</v>
      </c>
      <c r="AO43" s="71">
        <v>3.36</v>
      </c>
      <c r="AP43" s="71">
        <v>4.5599999999999996</v>
      </c>
      <c r="AS43" s="51">
        <v>54</v>
      </c>
      <c r="AT43" s="72">
        <v>0.6</v>
      </c>
      <c r="AU43" s="72">
        <v>1.3199999999999998</v>
      </c>
      <c r="AV43" s="72">
        <v>0.72</v>
      </c>
      <c r="AW43" s="72">
        <v>1.68</v>
      </c>
      <c r="AX43" s="76">
        <v>0.48</v>
      </c>
      <c r="AY43" s="72">
        <v>1.08</v>
      </c>
      <c r="AZ43" s="72">
        <v>0.6</v>
      </c>
      <c r="BA43" s="77">
        <v>1.3199999999999998</v>
      </c>
      <c r="BB43" s="66">
        <v>0.48</v>
      </c>
      <c r="BC43" s="66">
        <v>1.08</v>
      </c>
      <c r="BD43" s="66">
        <v>0.6</v>
      </c>
      <c r="BE43" s="66">
        <v>1.44</v>
      </c>
      <c r="BI43" s="51">
        <v>55</v>
      </c>
      <c r="BJ43" s="68">
        <v>4.92</v>
      </c>
      <c r="BK43" s="69">
        <v>6.96</v>
      </c>
      <c r="BL43" s="70">
        <v>3.96</v>
      </c>
      <c r="BM43" s="69">
        <v>5.52</v>
      </c>
      <c r="BN43" s="71">
        <v>4.08</v>
      </c>
      <c r="BO43" s="71">
        <v>5.88</v>
      </c>
    </row>
    <row r="44" spans="2:67" x14ac:dyDescent="0.15">
      <c r="B44" s="51">
        <v>57</v>
      </c>
      <c r="C44" s="66">
        <v>1.7999999999999998</v>
      </c>
      <c r="D44" s="56"/>
      <c r="E44" s="56"/>
      <c r="F44" s="51">
        <v>57</v>
      </c>
      <c r="G44" s="66">
        <v>2.04</v>
      </c>
      <c r="H44" s="56"/>
      <c r="I44" s="56"/>
      <c r="J44" s="51">
        <v>57</v>
      </c>
      <c r="K44" s="66">
        <v>0.84</v>
      </c>
      <c r="V44" s="51">
        <v>57</v>
      </c>
      <c r="W44" s="66">
        <v>0.96</v>
      </c>
      <c r="AA44" s="51">
        <v>56</v>
      </c>
      <c r="AB44" s="68">
        <v>2.88</v>
      </c>
      <c r="AC44" s="69">
        <v>3.5999999999999996</v>
      </c>
      <c r="AD44" s="70">
        <v>2.2799999999999998</v>
      </c>
      <c r="AE44" s="69">
        <v>2.88</v>
      </c>
      <c r="AF44" s="71">
        <v>2.4</v>
      </c>
      <c r="AG44" s="71">
        <v>3</v>
      </c>
      <c r="AJ44" s="51">
        <v>56</v>
      </c>
      <c r="AK44" s="68">
        <v>4.32</v>
      </c>
      <c r="AL44" s="69">
        <v>6</v>
      </c>
      <c r="AM44" s="70">
        <v>3.48</v>
      </c>
      <c r="AN44" s="69">
        <v>4.8</v>
      </c>
      <c r="AO44" s="71">
        <v>3.5999999999999996</v>
      </c>
      <c r="AP44" s="71">
        <v>5.04</v>
      </c>
      <c r="AS44" s="51">
        <v>55</v>
      </c>
      <c r="AT44" s="72">
        <v>0.72</v>
      </c>
      <c r="AU44" s="72">
        <v>1.44</v>
      </c>
      <c r="AV44" s="72">
        <v>0.84</v>
      </c>
      <c r="AW44" s="72">
        <v>1.7999999999999998</v>
      </c>
      <c r="AX44" s="76">
        <v>0.48</v>
      </c>
      <c r="AY44" s="72">
        <v>1.08</v>
      </c>
      <c r="AZ44" s="72">
        <v>0.72</v>
      </c>
      <c r="BA44" s="77">
        <v>1.44</v>
      </c>
      <c r="BB44" s="66">
        <v>0.6</v>
      </c>
      <c r="BC44" s="66">
        <v>1.2</v>
      </c>
      <c r="BD44" s="66">
        <v>0.72</v>
      </c>
      <c r="BE44" s="66">
        <v>1.56</v>
      </c>
      <c r="BI44" s="51">
        <v>56</v>
      </c>
      <c r="BJ44" s="68">
        <v>5.3999999999999995</v>
      </c>
      <c r="BK44" s="69">
        <v>7.56</v>
      </c>
      <c r="BL44" s="70">
        <v>4.32</v>
      </c>
      <c r="BM44" s="69">
        <v>6</v>
      </c>
      <c r="BN44" s="71">
        <v>4.4399999999999995</v>
      </c>
      <c r="BO44" s="71">
        <v>6.3599999999999994</v>
      </c>
    </row>
    <row r="45" spans="2:67" x14ac:dyDescent="0.15">
      <c r="B45" s="51">
        <v>58</v>
      </c>
      <c r="C45" s="66">
        <v>1.92</v>
      </c>
      <c r="D45" s="56"/>
      <c r="E45" s="56"/>
      <c r="F45" s="51">
        <v>58</v>
      </c>
      <c r="G45" s="66">
        <v>2.16</v>
      </c>
      <c r="H45" s="56"/>
      <c r="I45" s="56"/>
      <c r="J45" s="51">
        <v>58</v>
      </c>
      <c r="K45" s="66">
        <v>0.96</v>
      </c>
      <c r="V45" s="51">
        <v>58</v>
      </c>
      <c r="W45" s="66">
        <v>0.96</v>
      </c>
      <c r="AA45" s="51">
        <v>57</v>
      </c>
      <c r="AB45" s="68">
        <v>3.12</v>
      </c>
      <c r="AC45" s="69">
        <v>3.96</v>
      </c>
      <c r="AD45" s="70">
        <v>2.52</v>
      </c>
      <c r="AE45" s="69">
        <v>3.12</v>
      </c>
      <c r="AF45" s="71">
        <v>2.6399999999999997</v>
      </c>
      <c r="AG45" s="71">
        <v>3.2399999999999998</v>
      </c>
      <c r="AJ45" s="51">
        <v>57</v>
      </c>
      <c r="AK45" s="68">
        <v>4.68</v>
      </c>
      <c r="AL45" s="69">
        <v>6.4799999999999995</v>
      </c>
      <c r="AM45" s="70">
        <v>3.7199999999999998</v>
      </c>
      <c r="AN45" s="69">
        <v>5.16</v>
      </c>
      <c r="AO45" s="71">
        <v>3.96</v>
      </c>
      <c r="AP45" s="71">
        <v>5.3999999999999995</v>
      </c>
      <c r="AS45" s="51">
        <v>56</v>
      </c>
      <c r="AT45" s="72">
        <v>0.72</v>
      </c>
      <c r="AU45" s="72">
        <v>1.56</v>
      </c>
      <c r="AV45" s="72">
        <v>0.96</v>
      </c>
      <c r="AW45" s="72">
        <v>1.92</v>
      </c>
      <c r="AX45" s="76">
        <v>0.6</v>
      </c>
      <c r="AY45" s="72">
        <v>1.2</v>
      </c>
      <c r="AZ45" s="72">
        <v>0.72</v>
      </c>
      <c r="BA45" s="77">
        <v>1.56</v>
      </c>
      <c r="BB45" s="66">
        <v>0.6</v>
      </c>
      <c r="BC45" s="66">
        <v>1.3199999999999998</v>
      </c>
      <c r="BD45" s="66">
        <v>0.72</v>
      </c>
      <c r="BE45" s="66">
        <v>1.68</v>
      </c>
      <c r="BI45" s="51">
        <v>57</v>
      </c>
      <c r="BJ45" s="68">
        <v>5.76</v>
      </c>
      <c r="BK45" s="69">
        <v>8.2799999999999994</v>
      </c>
      <c r="BL45" s="70">
        <v>4.5599999999999996</v>
      </c>
      <c r="BM45" s="69">
        <v>6.6</v>
      </c>
      <c r="BN45" s="71">
        <v>4.8</v>
      </c>
      <c r="BO45" s="71">
        <v>6.84</v>
      </c>
    </row>
    <row r="46" spans="2:67" x14ac:dyDescent="0.15">
      <c r="B46" s="51">
        <v>59</v>
      </c>
      <c r="C46" s="66">
        <v>2.04</v>
      </c>
      <c r="D46" s="56"/>
      <c r="E46" s="56"/>
      <c r="F46" s="51">
        <v>59</v>
      </c>
      <c r="G46" s="66">
        <v>2.4</v>
      </c>
      <c r="H46" s="56"/>
      <c r="I46" s="56"/>
      <c r="J46" s="51">
        <v>59</v>
      </c>
      <c r="K46" s="66">
        <v>0.96</v>
      </c>
      <c r="V46" s="51">
        <v>59</v>
      </c>
      <c r="W46" s="66">
        <v>0.96</v>
      </c>
      <c r="AA46" s="51">
        <v>58</v>
      </c>
      <c r="AB46" s="68">
        <v>3.48</v>
      </c>
      <c r="AC46" s="69">
        <v>4.32</v>
      </c>
      <c r="AD46" s="70">
        <v>2.76</v>
      </c>
      <c r="AE46" s="69">
        <v>3.36</v>
      </c>
      <c r="AF46" s="71">
        <v>2.88</v>
      </c>
      <c r="AG46" s="71">
        <v>3.5999999999999996</v>
      </c>
      <c r="AJ46" s="51">
        <v>58</v>
      </c>
      <c r="AK46" s="68">
        <v>5.16</v>
      </c>
      <c r="AL46" s="69">
        <v>7.08</v>
      </c>
      <c r="AM46" s="70">
        <v>4.08</v>
      </c>
      <c r="AN46" s="69">
        <v>5.64</v>
      </c>
      <c r="AO46" s="71">
        <v>4.2</v>
      </c>
      <c r="AP46" s="71">
        <v>5.88</v>
      </c>
      <c r="AS46" s="51">
        <v>57</v>
      </c>
      <c r="AT46" s="72">
        <v>0.84</v>
      </c>
      <c r="AU46" s="72">
        <v>1.68</v>
      </c>
      <c r="AV46" s="72">
        <v>0.96</v>
      </c>
      <c r="AW46" s="72">
        <v>2.16</v>
      </c>
      <c r="AX46" s="76">
        <v>0.6</v>
      </c>
      <c r="AY46" s="72">
        <v>1.3199999999999998</v>
      </c>
      <c r="AZ46" s="72">
        <v>0.84</v>
      </c>
      <c r="BA46" s="77">
        <v>1.68</v>
      </c>
      <c r="BB46" s="66">
        <v>0.6</v>
      </c>
      <c r="BC46" s="66">
        <v>1.3199999999999998</v>
      </c>
      <c r="BD46" s="66">
        <v>0.84</v>
      </c>
      <c r="BE46" s="66">
        <v>1.7999999999999998</v>
      </c>
      <c r="BI46" s="51">
        <v>58</v>
      </c>
      <c r="BJ46" s="68">
        <v>6.3599999999999994</v>
      </c>
      <c r="BK46" s="69">
        <v>9</v>
      </c>
      <c r="BL46" s="70">
        <v>5.04</v>
      </c>
      <c r="BM46" s="69">
        <v>7.08</v>
      </c>
      <c r="BN46" s="71">
        <v>5.2799999999999994</v>
      </c>
      <c r="BO46" s="71">
        <v>7.4399999999999995</v>
      </c>
    </row>
    <row r="47" spans="2:67" x14ac:dyDescent="0.15">
      <c r="B47" s="51">
        <v>60</v>
      </c>
      <c r="C47" s="66">
        <v>2.2799999999999998</v>
      </c>
      <c r="D47" s="56"/>
      <c r="E47" s="56"/>
      <c r="F47" s="51">
        <v>60</v>
      </c>
      <c r="G47" s="66">
        <v>2.6399999999999997</v>
      </c>
      <c r="H47" s="56"/>
      <c r="I47" s="56"/>
      <c r="J47" s="51">
        <v>60</v>
      </c>
      <c r="K47" s="66">
        <v>1.08</v>
      </c>
      <c r="V47" s="51">
        <v>60</v>
      </c>
      <c r="W47" s="66">
        <v>0.96</v>
      </c>
      <c r="AA47" s="51">
        <v>59</v>
      </c>
      <c r="AB47" s="68">
        <v>3.7199999999999998</v>
      </c>
      <c r="AC47" s="69">
        <v>4.68</v>
      </c>
      <c r="AD47" s="70">
        <v>3</v>
      </c>
      <c r="AE47" s="69">
        <v>3.7199999999999998</v>
      </c>
      <c r="AF47" s="71">
        <v>3.12</v>
      </c>
      <c r="AG47" s="71">
        <v>3.84</v>
      </c>
      <c r="AJ47" s="51">
        <v>59</v>
      </c>
      <c r="AK47" s="68">
        <v>5.52</v>
      </c>
      <c r="AL47" s="69">
        <v>7.68</v>
      </c>
      <c r="AM47" s="70">
        <v>4.4399999999999995</v>
      </c>
      <c r="AN47" s="69">
        <v>6.12</v>
      </c>
      <c r="AO47" s="71">
        <v>4.5599999999999996</v>
      </c>
      <c r="AP47" s="71">
        <v>6.3599999999999994</v>
      </c>
      <c r="AS47" s="51">
        <v>58</v>
      </c>
      <c r="AT47" s="72">
        <v>0.84</v>
      </c>
      <c r="AU47" s="72">
        <v>1.7999999999999998</v>
      </c>
      <c r="AV47" s="72">
        <v>1.08</v>
      </c>
      <c r="AW47" s="72">
        <v>2.2799999999999998</v>
      </c>
      <c r="AX47" s="76">
        <v>0.72</v>
      </c>
      <c r="AY47" s="72">
        <v>1.44</v>
      </c>
      <c r="AZ47" s="72">
        <v>0.84</v>
      </c>
      <c r="BA47" s="77">
        <v>1.7999999999999998</v>
      </c>
      <c r="BB47" s="66">
        <v>0.72</v>
      </c>
      <c r="BC47" s="66">
        <v>1.44</v>
      </c>
      <c r="BD47" s="66">
        <v>0.84</v>
      </c>
      <c r="BE47" s="66">
        <v>1.92</v>
      </c>
      <c r="BI47" s="51">
        <v>59</v>
      </c>
      <c r="BJ47" s="68">
        <v>6.96</v>
      </c>
      <c r="BK47" s="69">
        <v>9.84</v>
      </c>
      <c r="BL47" s="70">
        <v>5.3999999999999995</v>
      </c>
      <c r="BM47" s="69">
        <v>7.68</v>
      </c>
      <c r="BN47" s="71">
        <v>5.76</v>
      </c>
      <c r="BO47" s="71">
        <v>8.0399999999999991</v>
      </c>
    </row>
    <row r="48" spans="2:67" x14ac:dyDescent="0.15">
      <c r="B48" s="51">
        <v>61</v>
      </c>
      <c r="C48" s="66">
        <v>2.4</v>
      </c>
      <c r="D48" s="56"/>
      <c r="E48" s="56"/>
      <c r="F48" s="51">
        <v>61</v>
      </c>
      <c r="G48" s="66">
        <v>2.76</v>
      </c>
      <c r="H48" s="56"/>
      <c r="I48" s="56"/>
      <c r="J48" s="51">
        <v>61</v>
      </c>
      <c r="K48" s="66">
        <v>1.2</v>
      </c>
      <c r="V48" s="51">
        <v>61</v>
      </c>
      <c r="W48" s="66">
        <v>0.96</v>
      </c>
      <c r="AA48" s="51">
        <v>60</v>
      </c>
      <c r="AB48" s="68">
        <v>4.08</v>
      </c>
      <c r="AC48" s="69">
        <v>5.16</v>
      </c>
      <c r="AD48" s="70">
        <v>3.2399999999999998</v>
      </c>
      <c r="AE48" s="69">
        <v>3.96</v>
      </c>
      <c r="AF48" s="71">
        <v>3.36</v>
      </c>
      <c r="AG48" s="71">
        <v>4.2</v>
      </c>
      <c r="AJ48" s="51">
        <v>60</v>
      </c>
      <c r="AK48" s="68">
        <v>6.12</v>
      </c>
      <c r="AL48" s="69">
        <v>8.4</v>
      </c>
      <c r="AM48" s="70">
        <v>4.8</v>
      </c>
      <c r="AN48" s="69">
        <v>6.6</v>
      </c>
      <c r="AO48" s="71">
        <v>5.04</v>
      </c>
      <c r="AP48" s="71">
        <v>6.96</v>
      </c>
      <c r="AS48" s="51">
        <v>59</v>
      </c>
      <c r="AT48" s="72">
        <v>0.96</v>
      </c>
      <c r="AU48" s="72">
        <v>1.92</v>
      </c>
      <c r="AV48" s="72">
        <v>1.2</v>
      </c>
      <c r="AW48" s="72">
        <v>2.52</v>
      </c>
      <c r="AX48" s="76">
        <v>0.72</v>
      </c>
      <c r="AY48" s="72">
        <v>1.56</v>
      </c>
      <c r="AZ48" s="72">
        <v>0.96</v>
      </c>
      <c r="BA48" s="77">
        <v>2.04</v>
      </c>
      <c r="BB48" s="66">
        <v>0.72</v>
      </c>
      <c r="BC48" s="66">
        <v>1.56</v>
      </c>
      <c r="BD48" s="66">
        <v>0.96</v>
      </c>
      <c r="BE48" s="66">
        <v>2.04</v>
      </c>
      <c r="BI48" s="51">
        <v>60</v>
      </c>
      <c r="BJ48" s="68">
        <v>7.56</v>
      </c>
      <c r="BK48" s="69">
        <v>10.68</v>
      </c>
      <c r="BL48" s="70">
        <v>5.88</v>
      </c>
      <c r="BM48" s="69">
        <v>8.4</v>
      </c>
      <c r="BN48" s="71">
        <v>6.24</v>
      </c>
      <c r="BO48" s="71">
        <v>8.879999999999999</v>
      </c>
    </row>
    <row r="49" spans="2:67" x14ac:dyDescent="0.15">
      <c r="B49" s="51">
        <v>62</v>
      </c>
      <c r="C49" s="66">
        <v>2.6399999999999997</v>
      </c>
      <c r="D49" s="56"/>
      <c r="E49" s="56"/>
      <c r="F49" s="51">
        <v>62</v>
      </c>
      <c r="G49" s="66">
        <v>3</v>
      </c>
      <c r="H49" s="56"/>
      <c r="I49" s="56"/>
      <c r="J49" s="51">
        <v>62</v>
      </c>
      <c r="K49" s="66">
        <v>1.3199999999999998</v>
      </c>
      <c r="V49" s="51">
        <v>62</v>
      </c>
      <c r="W49" s="66">
        <v>0.96</v>
      </c>
      <c r="AA49" s="51">
        <v>61</v>
      </c>
      <c r="AB49" s="68">
        <v>4.4399999999999995</v>
      </c>
      <c r="AC49" s="69">
        <v>5.52</v>
      </c>
      <c r="AD49" s="70">
        <v>3.48</v>
      </c>
      <c r="AE49" s="69">
        <v>4.32</v>
      </c>
      <c r="AF49" s="71">
        <v>3.7199999999999998</v>
      </c>
      <c r="AG49" s="71">
        <v>4.5599999999999996</v>
      </c>
      <c r="AJ49" s="51">
        <v>61</v>
      </c>
      <c r="AK49" s="68">
        <v>6.6</v>
      </c>
      <c r="AL49" s="69">
        <v>9.24</v>
      </c>
      <c r="AM49" s="70">
        <v>5.16</v>
      </c>
      <c r="AN49" s="69">
        <v>7.1999999999999993</v>
      </c>
      <c r="AO49" s="71">
        <v>5.52</v>
      </c>
      <c r="AP49" s="71">
        <v>7.56</v>
      </c>
      <c r="AS49" s="51">
        <v>60</v>
      </c>
      <c r="AT49" s="72">
        <v>1.08</v>
      </c>
      <c r="AU49" s="72">
        <v>2.16</v>
      </c>
      <c r="AV49" s="72">
        <v>1.3199999999999998</v>
      </c>
      <c r="AW49" s="72">
        <v>2.76</v>
      </c>
      <c r="AX49" s="76">
        <v>0.84</v>
      </c>
      <c r="AY49" s="72">
        <v>1.68</v>
      </c>
      <c r="AZ49" s="72">
        <v>0.96</v>
      </c>
      <c r="BA49" s="77">
        <v>2.16</v>
      </c>
      <c r="BB49" s="66">
        <v>0.84</v>
      </c>
      <c r="BC49" s="66">
        <v>1.7999999999999998</v>
      </c>
      <c r="BD49" s="66">
        <v>1.08</v>
      </c>
      <c r="BE49" s="66">
        <v>2.2799999999999998</v>
      </c>
      <c r="BI49" s="51">
        <v>61</v>
      </c>
      <c r="BJ49" s="68">
        <v>8.2799999999999994</v>
      </c>
      <c r="BK49" s="69">
        <v>11.639999999999999</v>
      </c>
      <c r="BL49" s="70">
        <v>6.4799999999999995</v>
      </c>
      <c r="BM49" s="69">
        <v>9.1199999999999992</v>
      </c>
      <c r="BN49" s="71">
        <v>6.72</v>
      </c>
      <c r="BO49" s="71">
        <v>9.6</v>
      </c>
    </row>
    <row r="50" spans="2:67" x14ac:dyDescent="0.15">
      <c r="B50" s="51">
        <v>63</v>
      </c>
      <c r="C50" s="66">
        <v>2.88</v>
      </c>
      <c r="D50" s="56"/>
      <c r="E50" s="56"/>
      <c r="F50" s="51">
        <v>63</v>
      </c>
      <c r="G50" s="66">
        <v>3.2399999999999998</v>
      </c>
      <c r="H50" s="56"/>
      <c r="I50" s="56"/>
      <c r="J50" s="51">
        <v>63</v>
      </c>
      <c r="K50" s="66">
        <v>1.3199999999999998</v>
      </c>
      <c r="V50" s="51">
        <v>63</v>
      </c>
      <c r="W50" s="66">
        <v>0.96</v>
      </c>
      <c r="AA50" s="51">
        <v>62</v>
      </c>
      <c r="AB50" s="68">
        <v>4.92</v>
      </c>
      <c r="AC50" s="69">
        <v>6.12</v>
      </c>
      <c r="AD50" s="70">
        <v>3.84</v>
      </c>
      <c r="AE50" s="69">
        <v>4.8</v>
      </c>
      <c r="AF50" s="71">
        <v>3.96</v>
      </c>
      <c r="AG50" s="71">
        <v>5.04</v>
      </c>
      <c r="AJ50" s="51">
        <v>62</v>
      </c>
      <c r="AK50" s="68">
        <v>7.3199999999999994</v>
      </c>
      <c r="AL50" s="69">
        <v>10.08</v>
      </c>
      <c r="AM50" s="70">
        <v>5.64</v>
      </c>
      <c r="AN50" s="69">
        <v>7.92</v>
      </c>
      <c r="AO50" s="71">
        <v>6</v>
      </c>
      <c r="AP50" s="71">
        <v>8.2799999999999994</v>
      </c>
      <c r="AS50" s="51">
        <v>61</v>
      </c>
      <c r="AT50" s="72">
        <v>1.08</v>
      </c>
      <c r="AU50" s="72">
        <v>2.4</v>
      </c>
      <c r="AV50" s="72">
        <v>1.44</v>
      </c>
      <c r="AW50" s="72">
        <v>3</v>
      </c>
      <c r="AX50" s="76">
        <v>0.84</v>
      </c>
      <c r="AY50" s="72">
        <v>1.7999999999999998</v>
      </c>
      <c r="AZ50" s="72">
        <v>1.08</v>
      </c>
      <c r="BA50" s="77">
        <v>2.4</v>
      </c>
      <c r="BB50" s="66">
        <v>0.96</v>
      </c>
      <c r="BC50" s="66">
        <v>1.92</v>
      </c>
      <c r="BD50" s="66">
        <v>1.2</v>
      </c>
      <c r="BE50" s="66">
        <v>2.52</v>
      </c>
      <c r="BI50" s="51">
        <v>62</v>
      </c>
      <c r="BJ50" s="68">
        <v>9</v>
      </c>
      <c r="BK50" s="69">
        <v>12.719999999999999</v>
      </c>
      <c r="BL50" s="70">
        <v>7.08</v>
      </c>
      <c r="BM50" s="69">
        <v>9.9599999999999991</v>
      </c>
      <c r="BN50" s="71">
        <v>7.4399999999999995</v>
      </c>
      <c r="BO50" s="71">
        <v>10.44</v>
      </c>
    </row>
    <row r="51" spans="2:67" x14ac:dyDescent="0.15">
      <c r="B51" s="51">
        <v>64</v>
      </c>
      <c r="C51" s="66">
        <v>3.12</v>
      </c>
      <c r="D51" s="56"/>
      <c r="E51" s="56"/>
      <c r="F51" s="51">
        <v>64</v>
      </c>
      <c r="G51" s="66">
        <v>3.48</v>
      </c>
      <c r="H51" s="56"/>
      <c r="I51" s="56"/>
      <c r="J51" s="51">
        <v>64</v>
      </c>
      <c r="K51" s="66">
        <v>1.44</v>
      </c>
      <c r="V51" s="51">
        <v>64</v>
      </c>
      <c r="W51" s="66">
        <v>0.96</v>
      </c>
      <c r="AA51" s="51">
        <v>63</v>
      </c>
      <c r="AB51" s="68">
        <v>5.3999999999999995</v>
      </c>
      <c r="AC51" s="69">
        <v>6.72</v>
      </c>
      <c r="AD51" s="70">
        <v>4.2</v>
      </c>
      <c r="AE51" s="69">
        <v>5.2799999999999994</v>
      </c>
      <c r="AF51" s="71">
        <v>4.4399999999999995</v>
      </c>
      <c r="AG51" s="71">
        <v>5.52</v>
      </c>
      <c r="AJ51" s="51">
        <v>63</v>
      </c>
      <c r="AK51" s="68">
        <v>7.92</v>
      </c>
      <c r="AL51" s="69">
        <v>11.04</v>
      </c>
      <c r="AM51" s="70">
        <v>6.24</v>
      </c>
      <c r="AN51" s="69">
        <v>8.64</v>
      </c>
      <c r="AO51" s="71">
        <v>6.6</v>
      </c>
      <c r="AP51" s="71">
        <v>9.1199999999999992</v>
      </c>
      <c r="AS51" s="51">
        <v>62</v>
      </c>
      <c r="AT51" s="72">
        <v>1.2</v>
      </c>
      <c r="AU51" s="72">
        <v>2.52</v>
      </c>
      <c r="AV51" s="72">
        <v>1.56</v>
      </c>
      <c r="AW51" s="72">
        <v>3.2399999999999998</v>
      </c>
      <c r="AX51" s="76">
        <v>0.96</v>
      </c>
      <c r="AY51" s="72">
        <v>2.04</v>
      </c>
      <c r="AZ51" s="72">
        <v>1.2</v>
      </c>
      <c r="BA51" s="77">
        <v>2.6399999999999997</v>
      </c>
      <c r="BB51" s="66">
        <v>0.96</v>
      </c>
      <c r="BC51" s="66">
        <v>2.16</v>
      </c>
      <c r="BD51" s="66">
        <v>1.2</v>
      </c>
      <c r="BE51" s="66">
        <v>2.76</v>
      </c>
      <c r="BI51" s="51">
        <v>63</v>
      </c>
      <c r="BJ51" s="68">
        <v>9.84</v>
      </c>
      <c r="BK51" s="69">
        <v>14.04</v>
      </c>
      <c r="BL51" s="70">
        <v>7.68</v>
      </c>
      <c r="BM51" s="69">
        <v>10.92</v>
      </c>
      <c r="BN51" s="71">
        <v>8.0399999999999991</v>
      </c>
      <c r="BO51" s="71">
        <v>11.52</v>
      </c>
    </row>
    <row r="52" spans="2:67" x14ac:dyDescent="0.15">
      <c r="B52" s="51">
        <v>65</v>
      </c>
      <c r="C52" s="66">
        <v>3.36</v>
      </c>
      <c r="D52" s="56"/>
      <c r="E52" s="56"/>
      <c r="F52" s="51">
        <v>65</v>
      </c>
      <c r="G52" s="66">
        <v>3.84</v>
      </c>
      <c r="H52" s="56"/>
      <c r="I52" s="56"/>
      <c r="J52" s="51">
        <v>65</v>
      </c>
      <c r="K52" s="66">
        <v>1.68</v>
      </c>
      <c r="V52" s="51">
        <v>65</v>
      </c>
      <c r="W52" s="66">
        <v>0.96</v>
      </c>
      <c r="AA52" s="51">
        <v>64</v>
      </c>
      <c r="AB52" s="68">
        <v>5.88</v>
      </c>
      <c r="AC52" s="69">
        <v>7.3199999999999994</v>
      </c>
      <c r="AD52" s="70">
        <v>4.5599999999999996</v>
      </c>
      <c r="AE52" s="69">
        <v>5.76</v>
      </c>
      <c r="AF52" s="71">
        <v>4.8</v>
      </c>
      <c r="AG52" s="71">
        <v>6</v>
      </c>
      <c r="AJ52" s="51">
        <v>64</v>
      </c>
      <c r="AK52" s="68">
        <v>8.76</v>
      </c>
      <c r="AL52" s="69">
        <v>12.12</v>
      </c>
      <c r="AM52" s="70">
        <v>6.84</v>
      </c>
      <c r="AN52" s="69">
        <v>9.48</v>
      </c>
      <c r="AO52" s="71">
        <v>7.1999999999999993</v>
      </c>
      <c r="AP52" s="71">
        <v>9.9599999999999991</v>
      </c>
      <c r="AS52" s="51">
        <v>63</v>
      </c>
      <c r="AT52" s="72">
        <v>1.3199999999999998</v>
      </c>
      <c r="AU52" s="72">
        <v>2.76</v>
      </c>
      <c r="AV52" s="72">
        <v>1.68</v>
      </c>
      <c r="AW52" s="72">
        <v>3.5999999999999996</v>
      </c>
      <c r="AX52" s="76">
        <v>1.08</v>
      </c>
      <c r="AY52" s="72">
        <v>2.16</v>
      </c>
      <c r="AZ52" s="72">
        <v>1.3199999999999998</v>
      </c>
      <c r="BA52" s="77">
        <v>2.88</v>
      </c>
      <c r="BB52" s="66">
        <v>1.08</v>
      </c>
      <c r="BC52" s="66">
        <v>2.2799999999999998</v>
      </c>
      <c r="BD52" s="66">
        <v>1.3199999999999998</v>
      </c>
      <c r="BE52" s="66">
        <v>3</v>
      </c>
      <c r="BI52" s="51">
        <v>64</v>
      </c>
      <c r="BJ52" s="68">
        <v>10.799999999999999</v>
      </c>
      <c r="BK52" s="69">
        <v>15.36</v>
      </c>
      <c r="BL52" s="70">
        <v>8.4</v>
      </c>
      <c r="BM52" s="69">
        <v>12</v>
      </c>
      <c r="BN52" s="71">
        <v>8.879999999999999</v>
      </c>
      <c r="BO52" s="71">
        <v>12.6</v>
      </c>
    </row>
    <row r="53" spans="2:67" x14ac:dyDescent="0.15">
      <c r="B53" s="51">
        <v>66</v>
      </c>
      <c r="C53" s="66">
        <v>3.5999999999999996</v>
      </c>
      <c r="D53" s="56"/>
      <c r="E53" s="56"/>
      <c r="F53" s="51">
        <v>66</v>
      </c>
      <c r="G53" s="66">
        <v>4.2</v>
      </c>
      <c r="H53" s="56"/>
      <c r="I53" s="56"/>
      <c r="J53" s="51">
        <v>66</v>
      </c>
      <c r="K53" s="66">
        <v>1.7999999999999998</v>
      </c>
      <c r="V53" s="51">
        <v>66</v>
      </c>
      <c r="W53" s="66">
        <v>0.96</v>
      </c>
      <c r="AA53" s="51">
        <v>65</v>
      </c>
      <c r="AB53" s="68">
        <v>6.4799999999999995</v>
      </c>
      <c r="AC53" s="69">
        <v>8.16</v>
      </c>
      <c r="AD53" s="70">
        <v>5.04</v>
      </c>
      <c r="AE53" s="69">
        <v>6.3599999999999994</v>
      </c>
      <c r="AF53" s="71">
        <v>5.2799999999999994</v>
      </c>
      <c r="AG53" s="71">
        <v>6.6</v>
      </c>
      <c r="AJ53" s="51">
        <v>65</v>
      </c>
      <c r="AK53" s="68">
        <v>9.7199999999999989</v>
      </c>
      <c r="AL53" s="69">
        <v>13.44</v>
      </c>
      <c r="AM53" s="70">
        <v>7.56</v>
      </c>
      <c r="AN53" s="69">
        <v>10.44</v>
      </c>
      <c r="AO53" s="71">
        <v>7.92</v>
      </c>
      <c r="AP53" s="71">
        <v>11.04</v>
      </c>
      <c r="AS53" s="51">
        <v>64</v>
      </c>
      <c r="AT53" s="72">
        <v>1.44</v>
      </c>
      <c r="AU53" s="72">
        <v>3.12</v>
      </c>
      <c r="AV53" s="72">
        <v>1.7999999999999998</v>
      </c>
      <c r="AW53" s="72">
        <v>3.96</v>
      </c>
      <c r="AX53" s="76">
        <v>1.2</v>
      </c>
      <c r="AY53" s="72">
        <v>2.4</v>
      </c>
      <c r="AZ53" s="72">
        <v>1.44</v>
      </c>
      <c r="BA53" s="77">
        <v>3.12</v>
      </c>
      <c r="BB53" s="66">
        <v>1.2</v>
      </c>
      <c r="BC53" s="66">
        <v>2.52</v>
      </c>
      <c r="BD53" s="66">
        <v>1.56</v>
      </c>
      <c r="BE53" s="66">
        <v>3.2399999999999998</v>
      </c>
      <c r="BI53" s="51">
        <v>65</v>
      </c>
      <c r="BJ53" s="68">
        <v>12</v>
      </c>
      <c r="BK53" s="69">
        <v>17.04</v>
      </c>
      <c r="BL53" s="70">
        <v>9.36</v>
      </c>
      <c r="BM53" s="69">
        <v>13.32</v>
      </c>
      <c r="BN53" s="71">
        <v>9.84</v>
      </c>
      <c r="BO53" s="71">
        <v>13.92</v>
      </c>
    </row>
    <row r="54" spans="2:67" x14ac:dyDescent="0.15">
      <c r="B54" s="51">
        <v>67</v>
      </c>
      <c r="C54" s="66">
        <v>3.96</v>
      </c>
      <c r="D54" s="56"/>
      <c r="E54" s="56"/>
      <c r="F54" s="51">
        <v>67</v>
      </c>
      <c r="G54" s="66">
        <v>4.4399999999999995</v>
      </c>
      <c r="H54" s="56"/>
      <c r="I54" s="56"/>
      <c r="J54" s="51">
        <v>67</v>
      </c>
      <c r="K54" s="66">
        <v>1.92</v>
      </c>
      <c r="V54" s="51">
        <v>67</v>
      </c>
      <c r="W54" s="66">
        <v>0.96</v>
      </c>
      <c r="AA54" s="51">
        <v>66</v>
      </c>
      <c r="AB54" s="68">
        <v>7.1999999999999993</v>
      </c>
      <c r="AC54" s="69">
        <v>9</v>
      </c>
      <c r="AD54" s="70">
        <v>5.52</v>
      </c>
      <c r="AE54" s="69">
        <v>6.96</v>
      </c>
      <c r="AF54" s="71">
        <v>5.88</v>
      </c>
      <c r="AG54" s="71">
        <v>7.3199999999999994</v>
      </c>
      <c r="AJ54" s="51">
        <v>66</v>
      </c>
      <c r="AK54" s="68">
        <v>10.68</v>
      </c>
      <c r="AL54" s="69">
        <v>14.879999999999999</v>
      </c>
      <c r="AM54" s="70">
        <v>8.2799999999999994</v>
      </c>
      <c r="AN54" s="69">
        <v>11.4</v>
      </c>
      <c r="AO54" s="71">
        <v>8.64</v>
      </c>
      <c r="AP54" s="71">
        <v>12</v>
      </c>
      <c r="AS54" s="51">
        <v>65</v>
      </c>
      <c r="AT54" s="72">
        <v>1.68</v>
      </c>
      <c r="AU54" s="72">
        <v>3.48</v>
      </c>
      <c r="AV54" s="72">
        <v>2.04</v>
      </c>
      <c r="AW54" s="72">
        <v>4.4399999999999995</v>
      </c>
      <c r="AX54" s="76">
        <v>1.3199999999999998</v>
      </c>
      <c r="AY54" s="72">
        <v>2.6399999999999997</v>
      </c>
      <c r="AZ54" s="72">
        <v>1.56</v>
      </c>
      <c r="BA54" s="77">
        <v>3.48</v>
      </c>
      <c r="BB54" s="66">
        <v>1.3199999999999998</v>
      </c>
      <c r="BC54" s="66">
        <v>2.76</v>
      </c>
      <c r="BD54" s="66">
        <v>1.68</v>
      </c>
      <c r="BE54" s="66">
        <v>3.5999999999999996</v>
      </c>
      <c r="BI54" s="51">
        <v>66</v>
      </c>
      <c r="BJ54" s="68">
        <v>13.2</v>
      </c>
      <c r="BK54" s="69">
        <v>18.84</v>
      </c>
      <c r="BL54" s="70">
        <v>10.199999999999999</v>
      </c>
      <c r="BM54" s="69">
        <v>14.52</v>
      </c>
      <c r="BN54" s="71">
        <v>10.68</v>
      </c>
      <c r="BO54" s="71">
        <v>15.24</v>
      </c>
    </row>
    <row r="55" spans="2:67" x14ac:dyDescent="0.15">
      <c r="B55" s="51">
        <v>68</v>
      </c>
      <c r="C55" s="66">
        <v>4.2</v>
      </c>
      <c r="D55" s="56"/>
      <c r="E55" s="56"/>
      <c r="F55" s="51">
        <v>68</v>
      </c>
      <c r="G55" s="66">
        <v>4.92</v>
      </c>
      <c r="H55" s="56"/>
      <c r="I55" s="56"/>
      <c r="J55" s="51">
        <v>68</v>
      </c>
      <c r="K55" s="66">
        <v>2.04</v>
      </c>
      <c r="V55" s="51">
        <v>68</v>
      </c>
      <c r="W55" s="66">
        <v>0.96</v>
      </c>
      <c r="AA55" s="51">
        <v>67</v>
      </c>
      <c r="AB55" s="68">
        <v>7.92</v>
      </c>
      <c r="AC55" s="69">
        <v>9.9599999999999991</v>
      </c>
      <c r="AD55" s="70">
        <v>6.12</v>
      </c>
      <c r="AE55" s="69">
        <v>7.56</v>
      </c>
      <c r="AF55" s="71">
        <v>6.3599999999999994</v>
      </c>
      <c r="AG55" s="71">
        <v>8.0399999999999991</v>
      </c>
      <c r="AJ55" s="51">
        <v>67</v>
      </c>
      <c r="AK55" s="68">
        <v>11.879999999999999</v>
      </c>
      <c r="AL55" s="69">
        <v>16.439999999999998</v>
      </c>
      <c r="AM55" s="70">
        <v>9</v>
      </c>
      <c r="AN55" s="69">
        <v>12.6</v>
      </c>
      <c r="AO55" s="71">
        <v>9.48</v>
      </c>
      <c r="AP55" s="71">
        <v>13.2</v>
      </c>
      <c r="AS55" s="51">
        <v>66</v>
      </c>
      <c r="AT55" s="72">
        <v>1.7999999999999998</v>
      </c>
      <c r="AU55" s="72">
        <v>3.7199999999999998</v>
      </c>
      <c r="AV55" s="72">
        <v>2.2799999999999998</v>
      </c>
      <c r="AW55" s="72">
        <v>4.8</v>
      </c>
      <c r="AX55" s="76">
        <v>1.44</v>
      </c>
      <c r="AY55" s="72">
        <v>2.88</v>
      </c>
      <c r="AZ55" s="72">
        <v>1.68</v>
      </c>
      <c r="BA55" s="77">
        <v>3.7199999999999998</v>
      </c>
      <c r="BB55" s="66">
        <v>1.44</v>
      </c>
      <c r="BC55" s="66">
        <v>3.12</v>
      </c>
      <c r="BD55" s="66">
        <v>1.7999999999999998</v>
      </c>
      <c r="BE55" s="66">
        <v>3.96</v>
      </c>
      <c r="BI55" s="51">
        <v>67</v>
      </c>
      <c r="BJ55" s="68">
        <v>14.639999999999999</v>
      </c>
      <c r="BK55" s="69">
        <v>20.759999999999998</v>
      </c>
      <c r="BL55" s="70">
        <v>11.16</v>
      </c>
      <c r="BM55" s="69">
        <v>15.84</v>
      </c>
      <c r="BN55" s="71">
        <v>11.76</v>
      </c>
      <c r="BO55" s="71">
        <v>16.8</v>
      </c>
    </row>
    <row r="56" spans="2:67" x14ac:dyDescent="0.15">
      <c r="B56" s="51">
        <v>69</v>
      </c>
      <c r="C56" s="66">
        <v>4.68</v>
      </c>
      <c r="D56" s="56"/>
      <c r="E56" s="56"/>
      <c r="F56" s="51">
        <v>69</v>
      </c>
      <c r="G56" s="66">
        <v>5.2799999999999994</v>
      </c>
      <c r="H56" s="56"/>
      <c r="I56" s="56"/>
      <c r="J56" s="51">
        <v>69</v>
      </c>
      <c r="K56" s="66">
        <v>2.2799999999999998</v>
      </c>
      <c r="V56" s="51">
        <v>69</v>
      </c>
      <c r="W56" s="66">
        <v>0.96</v>
      </c>
      <c r="AA56" s="51">
        <v>68</v>
      </c>
      <c r="AB56" s="68">
        <v>8.879999999999999</v>
      </c>
      <c r="AC56" s="69">
        <v>11.04</v>
      </c>
      <c r="AD56" s="70">
        <v>6.72</v>
      </c>
      <c r="AE56" s="69">
        <v>8.4</v>
      </c>
      <c r="AF56" s="71">
        <v>7.08</v>
      </c>
      <c r="AG56" s="71">
        <v>8.879999999999999</v>
      </c>
      <c r="AJ56" s="51">
        <v>68</v>
      </c>
      <c r="AK56" s="68">
        <v>13.2</v>
      </c>
      <c r="AL56" s="69">
        <v>18.239999999999998</v>
      </c>
      <c r="AM56" s="70">
        <v>9.9599999999999991</v>
      </c>
      <c r="AN56" s="69">
        <v>13.799999999999999</v>
      </c>
      <c r="AO56" s="71">
        <v>10.559999999999999</v>
      </c>
      <c r="AP56" s="71">
        <v>14.639999999999999</v>
      </c>
      <c r="AS56" s="51">
        <v>67</v>
      </c>
      <c r="AT56" s="72">
        <v>2.04</v>
      </c>
      <c r="AU56" s="72">
        <v>4.2</v>
      </c>
      <c r="AV56" s="72">
        <v>2.52</v>
      </c>
      <c r="AW56" s="72">
        <v>5.3999999999999995</v>
      </c>
      <c r="AX56" s="76">
        <v>1.56</v>
      </c>
      <c r="AY56" s="72">
        <v>3.2399999999999998</v>
      </c>
      <c r="AZ56" s="72">
        <v>1.92</v>
      </c>
      <c r="BA56" s="77">
        <v>4.08</v>
      </c>
      <c r="BB56" s="66">
        <v>1.56</v>
      </c>
      <c r="BC56" s="66">
        <v>3.36</v>
      </c>
      <c r="BD56" s="66">
        <v>2.04</v>
      </c>
      <c r="BE56" s="66">
        <v>4.32</v>
      </c>
      <c r="BI56" s="51">
        <v>68</v>
      </c>
      <c r="BJ56" s="68">
        <v>16.2</v>
      </c>
      <c r="BK56" s="69">
        <v>23.04</v>
      </c>
      <c r="BL56" s="70">
        <v>12.24</v>
      </c>
      <c r="BM56" s="69">
        <v>17.52</v>
      </c>
      <c r="BN56" s="71">
        <v>12.959999999999999</v>
      </c>
      <c r="BO56" s="71">
        <v>18.48</v>
      </c>
    </row>
    <row r="57" spans="2:67" x14ac:dyDescent="0.15">
      <c r="B57" s="54">
        <v>70</v>
      </c>
      <c r="C57" s="81">
        <v>5.04</v>
      </c>
      <c r="D57" s="56"/>
      <c r="E57" s="56"/>
      <c r="F57" s="54">
        <v>70</v>
      </c>
      <c r="G57" s="81">
        <v>5.88</v>
      </c>
      <c r="H57" s="56"/>
      <c r="I57" s="56"/>
      <c r="J57" s="54">
        <v>70</v>
      </c>
      <c r="K57" s="81">
        <v>2.4</v>
      </c>
      <c r="V57" s="54">
        <v>70</v>
      </c>
      <c r="W57" s="81">
        <v>0.96</v>
      </c>
      <c r="AA57" s="51">
        <v>69</v>
      </c>
      <c r="AB57" s="68">
        <v>9.84</v>
      </c>
      <c r="AC57" s="69">
        <v>12.36</v>
      </c>
      <c r="AD57" s="70">
        <v>7.4399999999999995</v>
      </c>
      <c r="AE57" s="69">
        <v>9.24</v>
      </c>
      <c r="AF57" s="71">
        <v>7.92</v>
      </c>
      <c r="AG57" s="71">
        <v>9.84</v>
      </c>
      <c r="AJ57" s="51">
        <v>69</v>
      </c>
      <c r="AK57" s="68">
        <v>14.639999999999999</v>
      </c>
      <c r="AL57" s="69">
        <v>20.399999999999999</v>
      </c>
      <c r="AM57" s="70">
        <v>11.04</v>
      </c>
      <c r="AN57" s="69">
        <v>15.36</v>
      </c>
      <c r="AO57" s="71">
        <v>11.639999999999999</v>
      </c>
      <c r="AP57" s="71">
        <v>16.2</v>
      </c>
      <c r="AS57" s="51">
        <v>68</v>
      </c>
      <c r="AT57" s="72">
        <v>2.16</v>
      </c>
      <c r="AU57" s="72">
        <v>4.68</v>
      </c>
      <c r="AV57" s="72">
        <v>2.76</v>
      </c>
      <c r="AW57" s="72">
        <v>6</v>
      </c>
      <c r="AX57" s="76">
        <v>1.68</v>
      </c>
      <c r="AY57" s="72">
        <v>3.48</v>
      </c>
      <c r="AZ57" s="72">
        <v>2.04</v>
      </c>
      <c r="BA57" s="77">
        <v>4.5599999999999996</v>
      </c>
      <c r="BB57" s="66">
        <v>1.7999999999999998</v>
      </c>
      <c r="BC57" s="66">
        <v>3.7199999999999998</v>
      </c>
      <c r="BD57" s="66">
        <v>2.16</v>
      </c>
      <c r="BE57" s="66">
        <v>4.8</v>
      </c>
      <c r="BI57" s="51">
        <v>69</v>
      </c>
      <c r="BJ57" s="68">
        <v>18.12</v>
      </c>
      <c r="BK57" s="69">
        <v>25.8</v>
      </c>
      <c r="BL57" s="70">
        <v>13.559999999999999</v>
      </c>
      <c r="BM57" s="69">
        <v>19.439999999999998</v>
      </c>
      <c r="BN57" s="71">
        <v>14.399999999999999</v>
      </c>
      <c r="BO57" s="71">
        <v>20.52</v>
      </c>
    </row>
    <row r="58" spans="2:67" x14ac:dyDescent="0.15">
      <c r="AA58" s="54">
        <v>70</v>
      </c>
      <c r="AB58" s="82">
        <v>11.04</v>
      </c>
      <c r="AC58" s="83">
        <v>13.92</v>
      </c>
      <c r="AD58" s="84">
        <v>8.2799999999999994</v>
      </c>
      <c r="AE58" s="83">
        <v>10.44</v>
      </c>
      <c r="AF58" s="85">
        <v>8.76</v>
      </c>
      <c r="AG58" s="85">
        <v>11.04</v>
      </c>
      <c r="AJ58" s="54">
        <v>70</v>
      </c>
      <c r="AK58" s="82">
        <v>16.439999999999998</v>
      </c>
      <c r="AL58" s="83">
        <v>22.919999999999998</v>
      </c>
      <c r="AM58" s="84">
        <v>12.36</v>
      </c>
      <c r="AN58" s="83">
        <v>17.16</v>
      </c>
      <c r="AO58" s="85">
        <v>13.08</v>
      </c>
      <c r="AP58" s="85">
        <v>18.12</v>
      </c>
      <c r="AS58" s="51">
        <v>69</v>
      </c>
      <c r="AT58" s="72">
        <v>2.52</v>
      </c>
      <c r="AU58" s="72">
        <v>5.16</v>
      </c>
      <c r="AV58" s="72">
        <v>3.12</v>
      </c>
      <c r="AW58" s="72">
        <v>6.72</v>
      </c>
      <c r="AX58" s="76">
        <v>1.92</v>
      </c>
      <c r="AY58" s="72">
        <v>3.96</v>
      </c>
      <c r="AZ58" s="72">
        <v>2.2799999999999998</v>
      </c>
      <c r="BA58" s="77">
        <v>5.04</v>
      </c>
      <c r="BB58" s="66">
        <v>1.92</v>
      </c>
      <c r="BC58" s="66">
        <v>4.08</v>
      </c>
      <c r="BD58" s="66">
        <v>2.4</v>
      </c>
      <c r="BE58" s="66">
        <v>5.2799999999999994</v>
      </c>
      <c r="BI58" s="54">
        <v>70</v>
      </c>
      <c r="BJ58" s="82">
        <v>20.279999999999998</v>
      </c>
      <c r="BK58" s="83">
        <v>28.919999999999998</v>
      </c>
      <c r="BL58" s="84">
        <v>15.12</v>
      </c>
      <c r="BM58" s="83">
        <v>21.599999999999998</v>
      </c>
      <c r="BN58" s="85">
        <v>16.079999999999998</v>
      </c>
      <c r="BO58" s="85">
        <v>22.919999999999998</v>
      </c>
    </row>
    <row r="59" spans="2:67" x14ac:dyDescent="0.15">
      <c r="AS59" s="54">
        <v>70</v>
      </c>
      <c r="AT59" s="86">
        <v>2.76</v>
      </c>
      <c r="AU59" s="86">
        <v>5.88</v>
      </c>
      <c r="AV59" s="86">
        <v>3.48</v>
      </c>
      <c r="AW59" s="86">
        <v>7.56</v>
      </c>
      <c r="AX59" s="87">
        <v>2.04</v>
      </c>
      <c r="AY59" s="86">
        <v>4.32</v>
      </c>
      <c r="AZ59" s="86">
        <v>2.6399999999999997</v>
      </c>
      <c r="BA59" s="88">
        <v>5.64</v>
      </c>
      <c r="BB59" s="81">
        <v>2.16</v>
      </c>
      <c r="BC59" s="81">
        <v>4.68</v>
      </c>
      <c r="BD59" s="81">
        <v>2.76</v>
      </c>
      <c r="BE59" s="81">
        <v>6</v>
      </c>
    </row>
    <row r="60" spans="2:67" x14ac:dyDescent="0.15">
      <c r="B60" s="136" t="s">
        <v>2081</v>
      </c>
      <c r="C60" s="136"/>
      <c r="D60" s="60" t="s">
        <v>8</v>
      </c>
    </row>
    <row r="61" spans="2:67" ht="14" x14ac:dyDescent="0.15">
      <c r="B61" s="57" t="s">
        <v>0</v>
      </c>
      <c r="C61" s="50" t="s">
        <v>2044</v>
      </c>
      <c r="D61" s="89"/>
    </row>
    <row r="62" spans="2:67" ht="14" x14ac:dyDescent="0.15">
      <c r="B62" s="51">
        <v>18</v>
      </c>
      <c r="C62" s="90">
        <v>6</v>
      </c>
      <c r="D62" s="89"/>
    </row>
    <row r="63" spans="2:67" ht="14" x14ac:dyDescent="0.15">
      <c r="B63" s="51">
        <v>19</v>
      </c>
      <c r="C63" s="90">
        <v>6</v>
      </c>
      <c r="D63" s="89"/>
    </row>
    <row r="64" spans="2:67" ht="14" x14ac:dyDescent="0.15">
      <c r="B64" s="51">
        <v>20</v>
      </c>
      <c r="C64" s="90">
        <v>6</v>
      </c>
      <c r="D64" s="89"/>
    </row>
    <row r="65" spans="2:4" ht="14" x14ac:dyDescent="0.15">
      <c r="B65" s="51">
        <v>21</v>
      </c>
      <c r="C65" s="90">
        <v>6</v>
      </c>
      <c r="D65" s="89"/>
    </row>
    <row r="66" spans="2:4" ht="14" x14ac:dyDescent="0.15">
      <c r="B66" s="51">
        <v>22</v>
      </c>
      <c r="C66" s="90">
        <v>6</v>
      </c>
      <c r="D66" s="89"/>
    </row>
    <row r="67" spans="2:4" ht="14" x14ac:dyDescent="0.15">
      <c r="B67" s="51">
        <v>23</v>
      </c>
      <c r="C67" s="90">
        <v>6</v>
      </c>
      <c r="D67" s="89"/>
    </row>
    <row r="68" spans="2:4" ht="14" x14ac:dyDescent="0.15">
      <c r="B68" s="51">
        <v>24</v>
      </c>
      <c r="C68" s="90">
        <v>6</v>
      </c>
      <c r="D68" s="89"/>
    </row>
    <row r="69" spans="2:4" ht="14" x14ac:dyDescent="0.15">
      <c r="B69" s="51">
        <v>25</v>
      </c>
      <c r="C69" s="90">
        <v>6</v>
      </c>
      <c r="D69" s="89"/>
    </row>
    <row r="70" spans="2:4" ht="14" x14ac:dyDescent="0.15">
      <c r="B70" s="51">
        <v>26</v>
      </c>
      <c r="C70" s="90">
        <v>6</v>
      </c>
      <c r="D70" s="89"/>
    </row>
    <row r="71" spans="2:4" ht="14" x14ac:dyDescent="0.15">
      <c r="B71" s="51">
        <v>27</v>
      </c>
      <c r="C71" s="90">
        <v>6</v>
      </c>
      <c r="D71" s="89"/>
    </row>
    <row r="72" spans="2:4" ht="14" x14ac:dyDescent="0.15">
      <c r="B72" s="51">
        <v>28</v>
      </c>
      <c r="C72" s="90">
        <v>6</v>
      </c>
      <c r="D72" s="89"/>
    </row>
    <row r="73" spans="2:4" ht="14" x14ac:dyDescent="0.15">
      <c r="B73" s="51">
        <v>29</v>
      </c>
      <c r="C73" s="90">
        <v>6</v>
      </c>
      <c r="D73" s="89"/>
    </row>
    <row r="74" spans="2:4" ht="14" x14ac:dyDescent="0.15">
      <c r="B74" s="51">
        <v>30</v>
      </c>
      <c r="C74" s="90">
        <v>6</v>
      </c>
      <c r="D74" s="89"/>
    </row>
    <row r="75" spans="2:4" ht="14" x14ac:dyDescent="0.15">
      <c r="B75" s="51">
        <v>31</v>
      </c>
      <c r="C75" s="90">
        <v>6</v>
      </c>
      <c r="D75" s="89"/>
    </row>
    <row r="76" spans="2:4" ht="14" x14ac:dyDescent="0.15">
      <c r="B76" s="51">
        <v>32</v>
      </c>
      <c r="C76" s="90">
        <v>6</v>
      </c>
      <c r="D76" s="89"/>
    </row>
    <row r="77" spans="2:4" ht="14" x14ac:dyDescent="0.15">
      <c r="B77" s="51">
        <v>33</v>
      </c>
      <c r="C77" s="90">
        <v>6</v>
      </c>
      <c r="D77" s="89"/>
    </row>
    <row r="78" spans="2:4" ht="14" x14ac:dyDescent="0.15">
      <c r="B78" s="51">
        <v>34</v>
      </c>
      <c r="C78" s="90">
        <v>6</v>
      </c>
      <c r="D78" s="89"/>
    </row>
    <row r="79" spans="2:4" ht="14" x14ac:dyDescent="0.15">
      <c r="B79" s="51">
        <v>35</v>
      </c>
      <c r="C79" s="90">
        <v>6</v>
      </c>
      <c r="D79" s="89"/>
    </row>
    <row r="80" spans="2:4" ht="14" x14ac:dyDescent="0.15">
      <c r="B80" s="51">
        <v>36</v>
      </c>
      <c r="C80" s="90">
        <v>6</v>
      </c>
      <c r="D80" s="89"/>
    </row>
    <row r="81" spans="2:4" ht="14" x14ac:dyDescent="0.15">
      <c r="B81" s="51">
        <v>37</v>
      </c>
      <c r="C81" s="90">
        <v>6</v>
      </c>
      <c r="D81" s="89"/>
    </row>
    <row r="82" spans="2:4" ht="14" x14ac:dyDescent="0.15">
      <c r="B82" s="51">
        <v>38</v>
      </c>
      <c r="C82" s="90">
        <v>6</v>
      </c>
      <c r="D82" s="89"/>
    </row>
    <row r="83" spans="2:4" ht="14" x14ac:dyDescent="0.15">
      <c r="B83" s="51">
        <v>39</v>
      </c>
      <c r="C83" s="90">
        <v>6</v>
      </c>
      <c r="D83" s="89"/>
    </row>
    <row r="84" spans="2:4" ht="14" x14ac:dyDescent="0.15">
      <c r="B84" s="51">
        <v>40</v>
      </c>
      <c r="C84" s="90">
        <v>6</v>
      </c>
      <c r="D84" s="89"/>
    </row>
    <row r="85" spans="2:4" ht="14" x14ac:dyDescent="0.15">
      <c r="B85" s="51">
        <v>41</v>
      </c>
      <c r="C85" s="90">
        <v>6</v>
      </c>
      <c r="D85" s="89"/>
    </row>
    <row r="86" spans="2:4" ht="14" x14ac:dyDescent="0.15">
      <c r="B86" s="51">
        <v>42</v>
      </c>
      <c r="C86" s="90">
        <v>6</v>
      </c>
      <c r="D86" s="89"/>
    </row>
    <row r="87" spans="2:4" ht="14" x14ac:dyDescent="0.15">
      <c r="B87" s="51">
        <v>43</v>
      </c>
      <c r="C87" s="90">
        <v>6</v>
      </c>
      <c r="D87" s="89"/>
    </row>
    <row r="88" spans="2:4" ht="14" x14ac:dyDescent="0.15">
      <c r="B88" s="51">
        <v>44</v>
      </c>
      <c r="C88" s="90">
        <v>6</v>
      </c>
      <c r="D88" s="89"/>
    </row>
    <row r="89" spans="2:4" ht="14" x14ac:dyDescent="0.15">
      <c r="B89" s="51">
        <v>45</v>
      </c>
      <c r="C89" s="90">
        <v>6</v>
      </c>
      <c r="D89" s="89"/>
    </row>
    <row r="90" spans="2:4" ht="14" x14ac:dyDescent="0.15">
      <c r="B90" s="51">
        <v>46</v>
      </c>
      <c r="C90" s="90">
        <v>6</v>
      </c>
      <c r="D90" s="89"/>
    </row>
    <row r="91" spans="2:4" ht="14" x14ac:dyDescent="0.15">
      <c r="B91" s="51">
        <v>47</v>
      </c>
      <c r="C91" s="90">
        <v>6</v>
      </c>
      <c r="D91" s="89"/>
    </row>
    <row r="92" spans="2:4" ht="14" x14ac:dyDescent="0.15">
      <c r="B92" s="51">
        <v>48</v>
      </c>
      <c r="C92" s="90">
        <v>6</v>
      </c>
      <c r="D92" s="89"/>
    </row>
    <row r="93" spans="2:4" ht="14" x14ac:dyDescent="0.15">
      <c r="B93" s="51">
        <v>49</v>
      </c>
      <c r="C93" s="90">
        <v>6</v>
      </c>
      <c r="D93" s="89"/>
    </row>
    <row r="94" spans="2:4" ht="14" x14ac:dyDescent="0.15">
      <c r="B94" s="51">
        <v>50</v>
      </c>
      <c r="C94" s="90">
        <v>6</v>
      </c>
      <c r="D94" s="89"/>
    </row>
    <row r="95" spans="2:4" ht="14" x14ac:dyDescent="0.15">
      <c r="B95" s="51">
        <v>51</v>
      </c>
      <c r="C95" s="90">
        <v>6</v>
      </c>
      <c r="D95" s="89"/>
    </row>
    <row r="96" spans="2:4" ht="14" x14ac:dyDescent="0.15">
      <c r="B96" s="51">
        <v>52</v>
      </c>
      <c r="C96" s="90">
        <v>6</v>
      </c>
      <c r="D96" s="89"/>
    </row>
    <row r="97" spans="2:4" ht="14" x14ac:dyDescent="0.15">
      <c r="B97" s="51">
        <v>53</v>
      </c>
      <c r="C97" s="90">
        <v>6</v>
      </c>
      <c r="D97" s="89"/>
    </row>
    <row r="98" spans="2:4" ht="14" x14ac:dyDescent="0.15">
      <c r="B98" s="51">
        <v>54</v>
      </c>
      <c r="C98" s="90">
        <v>6</v>
      </c>
      <c r="D98" s="89"/>
    </row>
    <row r="99" spans="2:4" ht="14" x14ac:dyDescent="0.15">
      <c r="B99" s="51">
        <v>55</v>
      </c>
      <c r="C99" s="90">
        <v>6</v>
      </c>
      <c r="D99" s="89"/>
    </row>
    <row r="100" spans="2:4" ht="14" x14ac:dyDescent="0.15">
      <c r="B100" s="51">
        <v>56</v>
      </c>
      <c r="C100" s="90">
        <v>6</v>
      </c>
      <c r="D100" s="89"/>
    </row>
    <row r="101" spans="2:4" ht="14" x14ac:dyDescent="0.15">
      <c r="B101" s="51">
        <v>57</v>
      </c>
      <c r="C101" s="90">
        <v>6</v>
      </c>
      <c r="D101" s="89"/>
    </row>
    <row r="102" spans="2:4" ht="14" x14ac:dyDescent="0.15">
      <c r="B102" s="51">
        <v>58</v>
      </c>
      <c r="C102" s="90">
        <v>6</v>
      </c>
      <c r="D102" s="89"/>
    </row>
    <row r="103" spans="2:4" ht="14" x14ac:dyDescent="0.15">
      <c r="B103" s="51">
        <v>59</v>
      </c>
      <c r="C103" s="90">
        <v>6</v>
      </c>
      <c r="D103" s="89"/>
    </row>
    <row r="104" spans="2:4" ht="14" x14ac:dyDescent="0.15">
      <c r="B104" s="51">
        <v>60</v>
      </c>
      <c r="C104" s="90">
        <v>6</v>
      </c>
      <c r="D104" s="89"/>
    </row>
    <row r="105" spans="2:4" ht="14" x14ac:dyDescent="0.15">
      <c r="B105" s="51">
        <v>61</v>
      </c>
      <c r="C105" s="90">
        <v>6</v>
      </c>
      <c r="D105" s="89"/>
    </row>
    <row r="106" spans="2:4" ht="14" x14ac:dyDescent="0.15">
      <c r="B106" s="51">
        <v>62</v>
      </c>
      <c r="C106" s="90">
        <v>6</v>
      </c>
      <c r="D106" s="89"/>
    </row>
    <row r="107" spans="2:4" ht="14" x14ac:dyDescent="0.15">
      <c r="B107" s="51">
        <v>63</v>
      </c>
      <c r="C107" s="90">
        <v>6</v>
      </c>
      <c r="D107" s="89"/>
    </row>
    <row r="108" spans="2:4" ht="14" x14ac:dyDescent="0.15">
      <c r="B108" s="51">
        <v>64</v>
      </c>
      <c r="C108" s="90">
        <v>6</v>
      </c>
      <c r="D108" s="89"/>
    </row>
    <row r="109" spans="2:4" ht="14" x14ac:dyDescent="0.15">
      <c r="B109" s="51">
        <v>65</v>
      </c>
      <c r="C109" s="90">
        <v>6</v>
      </c>
      <c r="D109" s="89"/>
    </row>
    <row r="110" spans="2:4" ht="14" x14ac:dyDescent="0.15">
      <c r="B110" s="51">
        <v>66</v>
      </c>
      <c r="C110" s="90">
        <v>6</v>
      </c>
      <c r="D110" s="89"/>
    </row>
    <row r="111" spans="2:4" ht="14" x14ac:dyDescent="0.15">
      <c r="B111" s="51">
        <v>67</v>
      </c>
      <c r="C111" s="90">
        <v>6</v>
      </c>
      <c r="D111" s="89"/>
    </row>
    <row r="112" spans="2:4" ht="14" x14ac:dyDescent="0.15">
      <c r="B112" s="51">
        <v>68</v>
      </c>
      <c r="C112" s="90">
        <v>6</v>
      </c>
      <c r="D112" s="89"/>
    </row>
    <row r="113" spans="2:4" ht="14" x14ac:dyDescent="0.15">
      <c r="B113" s="51">
        <v>69</v>
      </c>
      <c r="C113" s="90">
        <v>6</v>
      </c>
      <c r="D113" s="89"/>
    </row>
    <row r="114" spans="2:4" ht="14" x14ac:dyDescent="0.15">
      <c r="B114" s="54">
        <v>70</v>
      </c>
      <c r="C114" s="91">
        <v>6</v>
      </c>
      <c r="D114" s="89"/>
    </row>
  </sheetData>
  <mergeCells count="32">
    <mergeCell ref="AO5:AP5"/>
    <mergeCell ref="BI3:BO3"/>
    <mergeCell ref="BB5:BC5"/>
    <mergeCell ref="BD5:BE5"/>
    <mergeCell ref="AS3:BE3"/>
    <mergeCell ref="BI4:BI5"/>
    <mergeCell ref="BJ5:BK5"/>
    <mergeCell ref="BL5:BM5"/>
    <mergeCell ref="BN5:BO5"/>
    <mergeCell ref="BB4:BE4"/>
    <mergeCell ref="AS4:AS6"/>
    <mergeCell ref="AT4:AW4"/>
    <mergeCell ref="AT5:AU5"/>
    <mergeCell ref="AV5:AW5"/>
    <mergeCell ref="AX4:BA4"/>
    <mergeCell ref="AX5:AY5"/>
    <mergeCell ref="AZ5:BA5"/>
    <mergeCell ref="B60:C60"/>
    <mergeCell ref="AA3:AG3"/>
    <mergeCell ref="AJ3:AP3"/>
    <mergeCell ref="B3:C3"/>
    <mergeCell ref="J3:K3"/>
    <mergeCell ref="N3:O3"/>
    <mergeCell ref="V3:W3"/>
    <mergeCell ref="F3:G3"/>
    <mergeCell ref="AA4:AA5"/>
    <mergeCell ref="AB5:AC5"/>
    <mergeCell ref="AD5:AE5"/>
    <mergeCell ref="AF5:AG5"/>
    <mergeCell ref="AJ4:AJ5"/>
    <mergeCell ref="AK5:AL5"/>
    <mergeCell ref="AM5:AN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B667-840F-45C2-AB9B-47251A297D7E}">
  <dimension ref="B4:G86"/>
  <sheetViews>
    <sheetView topLeftCell="A68" zoomScale="115" zoomScaleNormal="115" workbookViewId="0">
      <selection activeCell="F69" sqref="F69"/>
    </sheetView>
  </sheetViews>
  <sheetFormatPr baseColWidth="10" defaultColWidth="8.83203125" defaultRowHeight="14" x14ac:dyDescent="0.15"/>
  <cols>
    <col min="1" max="1" width="8.83203125" style="19"/>
    <col min="2" max="2" width="29.83203125" style="19" customWidth="1" collapsed="1"/>
    <col min="3" max="3" width="39.1640625" style="107" customWidth="1" collapsed="1"/>
    <col min="4" max="5" width="8.83203125" style="19"/>
    <col min="6" max="6" width="41.1640625" style="19" customWidth="1" collapsed="1"/>
    <col min="7" max="7" width="39.1640625" style="19" customWidth="1" collapsed="1"/>
    <col min="8" max="16384" width="8.83203125" style="19"/>
  </cols>
  <sheetData>
    <row r="4" spans="2:7" x14ac:dyDescent="0.15">
      <c r="B4" s="158" t="s">
        <v>2082</v>
      </c>
      <c r="C4" s="158"/>
      <c r="F4" s="158" t="s">
        <v>2084</v>
      </c>
      <c r="G4" s="158"/>
    </row>
    <row r="5" spans="2:7" x14ac:dyDescent="0.15">
      <c r="B5" s="114" t="s">
        <v>32</v>
      </c>
      <c r="C5" s="115" t="s">
        <v>33</v>
      </c>
      <c r="F5" s="114" t="s">
        <v>32</v>
      </c>
      <c r="G5" s="115" t="s">
        <v>33</v>
      </c>
    </row>
    <row r="6" spans="2:7" x14ac:dyDescent="0.15">
      <c r="B6" s="7">
        <v>18</v>
      </c>
      <c r="C6" s="92">
        <v>9.3155520690331439E-4</v>
      </c>
      <c r="F6" s="7" t="s">
        <v>2028</v>
      </c>
      <c r="G6" s="93">
        <v>6.7709354775446165E-2</v>
      </c>
    </row>
    <row r="7" spans="2:7" x14ac:dyDescent="0.15">
      <c r="B7" s="7">
        <v>19</v>
      </c>
      <c r="C7" s="92">
        <v>2.8436948421259071E-3</v>
      </c>
      <c r="F7" s="7" t="s">
        <v>34</v>
      </c>
      <c r="G7" s="93">
        <v>0.13630123553637968</v>
      </c>
    </row>
    <row r="8" spans="2:7" x14ac:dyDescent="0.15">
      <c r="B8" s="7">
        <v>20</v>
      </c>
      <c r="C8" s="92">
        <v>6.4228280054912726E-3</v>
      </c>
      <c r="F8" s="7" t="s">
        <v>35</v>
      </c>
      <c r="G8" s="93">
        <v>0.14811727789762699</v>
      </c>
    </row>
    <row r="9" spans="2:7" x14ac:dyDescent="0.15">
      <c r="B9" s="7">
        <v>21</v>
      </c>
      <c r="C9" s="92">
        <v>7.6975877623063349E-3</v>
      </c>
      <c r="F9" s="7" t="s">
        <v>36</v>
      </c>
      <c r="G9" s="93">
        <v>0.13791919984310649</v>
      </c>
    </row>
    <row r="10" spans="2:7" x14ac:dyDescent="0.15">
      <c r="B10" s="7">
        <v>22</v>
      </c>
      <c r="C10" s="92">
        <v>1.3434006667974112E-2</v>
      </c>
      <c r="F10" s="7" t="s">
        <v>37</v>
      </c>
      <c r="G10" s="93">
        <v>0.1346342420082369</v>
      </c>
    </row>
    <row r="11" spans="2:7" x14ac:dyDescent="0.15">
      <c r="B11" s="7">
        <v>23</v>
      </c>
      <c r="C11" s="92">
        <v>1.5444204746028633E-2</v>
      </c>
      <c r="F11" s="7" t="s">
        <v>38</v>
      </c>
      <c r="G11" s="93">
        <v>0.11639537164149832</v>
      </c>
    </row>
    <row r="12" spans="2:7" x14ac:dyDescent="0.15">
      <c r="B12" s="8">
        <v>24</v>
      </c>
      <c r="C12" s="94">
        <v>2.0935477544616592E-2</v>
      </c>
      <c r="D12" s="95"/>
      <c r="F12" s="7" t="s">
        <v>39</v>
      </c>
      <c r="G12" s="93">
        <v>0.10781525789370464</v>
      </c>
    </row>
    <row r="13" spans="2:7" x14ac:dyDescent="0.15">
      <c r="B13" s="7">
        <v>25</v>
      </c>
      <c r="C13" s="92">
        <v>2.2553441851343399E-2</v>
      </c>
      <c r="F13" s="7" t="s">
        <v>40</v>
      </c>
      <c r="G13" s="93">
        <v>8.59972543636007E-2</v>
      </c>
    </row>
    <row r="14" spans="2:7" x14ac:dyDescent="0.15">
      <c r="B14" s="7">
        <v>26</v>
      </c>
      <c r="C14" s="92">
        <v>2.5985487350460874E-2</v>
      </c>
      <c r="F14" s="7" t="s">
        <v>2061</v>
      </c>
      <c r="G14" s="96">
        <v>5.0500000000000003E-2</v>
      </c>
    </row>
    <row r="15" spans="2:7" x14ac:dyDescent="0.15">
      <c r="B15" s="7">
        <v>27</v>
      </c>
      <c r="C15" s="92">
        <v>2.73092763286919E-2</v>
      </c>
      <c r="F15" s="8" t="s">
        <v>2062</v>
      </c>
      <c r="G15" s="97">
        <v>1.461E-2</v>
      </c>
    </row>
    <row r="16" spans="2:7" x14ac:dyDescent="0.15">
      <c r="B16" s="7">
        <v>28</v>
      </c>
      <c r="C16" s="92">
        <v>3.0103941949401844E-2</v>
      </c>
      <c r="E16" s="7"/>
      <c r="G16" s="98"/>
    </row>
    <row r="17" spans="2:7" x14ac:dyDescent="0.15">
      <c r="B17" s="8">
        <v>29</v>
      </c>
      <c r="C17" s="94">
        <v>3.0349088056481663E-2</v>
      </c>
      <c r="E17" s="7"/>
    </row>
    <row r="18" spans="2:7" x14ac:dyDescent="0.15">
      <c r="B18" s="7">
        <v>30</v>
      </c>
      <c r="C18" s="92">
        <v>2.990782506373799E-2</v>
      </c>
      <c r="E18" s="7"/>
    </row>
    <row r="19" spans="2:7" x14ac:dyDescent="0.15">
      <c r="B19" s="7">
        <v>31</v>
      </c>
      <c r="C19" s="92">
        <v>3.005491272798588E-2</v>
      </c>
      <c r="E19" s="7"/>
    </row>
    <row r="20" spans="2:7" x14ac:dyDescent="0.15">
      <c r="B20" s="7">
        <v>32</v>
      </c>
      <c r="C20" s="92">
        <v>3.093743871347323E-2</v>
      </c>
      <c r="E20" s="7"/>
    </row>
    <row r="21" spans="2:7" x14ac:dyDescent="0.15">
      <c r="B21" s="7">
        <v>33</v>
      </c>
      <c r="C21" s="92">
        <v>2.9368503628162384E-2</v>
      </c>
      <c r="E21" s="7"/>
      <c r="F21" s="99"/>
      <c r="G21" s="99"/>
    </row>
    <row r="22" spans="2:7" x14ac:dyDescent="0.15">
      <c r="B22" s="8">
        <v>34</v>
      </c>
      <c r="C22" s="94">
        <v>2.7848597764267503E-2</v>
      </c>
      <c r="E22" s="7"/>
      <c r="F22" s="100"/>
      <c r="G22" s="100"/>
    </row>
    <row r="23" spans="2:7" x14ac:dyDescent="0.15">
      <c r="B23" s="7">
        <v>35</v>
      </c>
      <c r="C23" s="92">
        <v>2.6917042557364188E-2</v>
      </c>
      <c r="E23" s="7"/>
      <c r="F23" s="101"/>
      <c r="G23" s="102"/>
    </row>
    <row r="24" spans="2:7" x14ac:dyDescent="0.15">
      <c r="B24" s="7">
        <v>36</v>
      </c>
      <c r="C24" s="92">
        <v>2.8485977642675034E-2</v>
      </c>
      <c r="E24" s="7"/>
      <c r="F24" s="101"/>
      <c r="G24" s="102"/>
    </row>
    <row r="25" spans="2:7" x14ac:dyDescent="0.15">
      <c r="B25" s="7">
        <v>37</v>
      </c>
      <c r="C25" s="92">
        <v>2.7946656207099432E-2</v>
      </c>
      <c r="E25" s="7"/>
      <c r="F25" s="102"/>
      <c r="G25" s="102"/>
    </row>
    <row r="26" spans="2:7" x14ac:dyDescent="0.15">
      <c r="B26" s="7">
        <v>38</v>
      </c>
      <c r="C26" s="92">
        <v>2.6524808786036479E-2</v>
      </c>
      <c r="F26" s="102"/>
      <c r="G26" s="102"/>
    </row>
    <row r="27" spans="2:7" x14ac:dyDescent="0.15">
      <c r="B27" s="8">
        <v>39</v>
      </c>
      <c r="C27" s="94">
        <v>2.8044714649931361E-2</v>
      </c>
      <c r="F27" s="102"/>
      <c r="G27" s="102"/>
    </row>
    <row r="28" spans="2:7" x14ac:dyDescent="0.15">
      <c r="B28" s="7">
        <v>40</v>
      </c>
      <c r="C28" s="92">
        <v>2.7015101000196117E-2</v>
      </c>
      <c r="F28" s="102"/>
      <c r="G28" s="102"/>
    </row>
    <row r="29" spans="2:7" x14ac:dyDescent="0.15">
      <c r="B29" s="7">
        <v>41</v>
      </c>
      <c r="C29" s="92">
        <v>2.8780152971170817E-2</v>
      </c>
      <c r="F29" s="102"/>
      <c r="G29" s="102"/>
    </row>
    <row r="30" spans="2:7" x14ac:dyDescent="0.15">
      <c r="B30" s="7">
        <v>42</v>
      </c>
      <c r="C30" s="92">
        <v>2.5985487350460874E-2</v>
      </c>
      <c r="F30" s="102"/>
      <c r="G30" s="102"/>
    </row>
    <row r="31" spans="2:7" x14ac:dyDescent="0.15">
      <c r="B31" s="7">
        <v>43</v>
      </c>
      <c r="C31" s="92">
        <v>2.8044714649931361E-2</v>
      </c>
      <c r="F31" s="102"/>
      <c r="G31" s="102"/>
    </row>
    <row r="32" spans="2:7" x14ac:dyDescent="0.15">
      <c r="B32" s="8">
        <v>44</v>
      </c>
      <c r="C32" s="94">
        <v>2.480878603647774E-2</v>
      </c>
      <c r="F32" s="102"/>
      <c r="G32" s="102"/>
    </row>
    <row r="33" spans="2:7" x14ac:dyDescent="0.15">
      <c r="B33" s="7">
        <v>45</v>
      </c>
      <c r="C33" s="92">
        <v>2.1965091194351832E-2</v>
      </c>
    </row>
    <row r="34" spans="2:7" x14ac:dyDescent="0.15">
      <c r="B34" s="7">
        <v>46</v>
      </c>
      <c r="C34" s="92">
        <v>2.3877230829574426E-2</v>
      </c>
    </row>
    <row r="35" spans="2:7" x14ac:dyDescent="0.15">
      <c r="B35" s="7">
        <v>47</v>
      </c>
      <c r="C35" s="92">
        <v>2.4563639929397921E-2</v>
      </c>
    </row>
    <row r="36" spans="2:7" x14ac:dyDescent="0.15">
      <c r="B36" s="7">
        <v>48</v>
      </c>
      <c r="C36" s="92">
        <v>2.3337909393998824E-2</v>
      </c>
      <c r="F36" s="99"/>
      <c r="G36" s="99"/>
    </row>
    <row r="37" spans="2:7" x14ac:dyDescent="0.15">
      <c r="B37" s="8">
        <v>49</v>
      </c>
      <c r="C37" s="94">
        <v>2.2651500294175328E-2</v>
      </c>
      <c r="F37" s="100"/>
      <c r="G37" s="100"/>
    </row>
    <row r="38" spans="2:7" x14ac:dyDescent="0.15">
      <c r="B38" s="7">
        <v>50</v>
      </c>
      <c r="C38" s="92">
        <v>2.569131202196509E-2</v>
      </c>
      <c r="F38" s="103"/>
      <c r="G38" s="7"/>
    </row>
    <row r="39" spans="2:7" x14ac:dyDescent="0.15">
      <c r="B39" s="7">
        <v>51</v>
      </c>
      <c r="C39" s="92">
        <v>2.1327711315944301E-2</v>
      </c>
      <c r="F39" s="103"/>
      <c r="G39" s="7"/>
    </row>
    <row r="40" spans="2:7" x14ac:dyDescent="0.15">
      <c r="B40" s="7">
        <v>52</v>
      </c>
      <c r="C40" s="92">
        <v>2.0445185330456951E-2</v>
      </c>
      <c r="F40" s="104"/>
      <c r="G40" s="7"/>
    </row>
    <row r="41" spans="2:7" x14ac:dyDescent="0.15">
      <c r="B41" s="7">
        <v>53</v>
      </c>
      <c r="C41" s="92">
        <v>2.0837419101784663E-2</v>
      </c>
      <c r="F41" s="104"/>
      <c r="G41" s="7"/>
    </row>
    <row r="42" spans="2:7" x14ac:dyDescent="0.15">
      <c r="B42" s="8">
        <v>54</v>
      </c>
      <c r="C42" s="94">
        <v>1.9513630123553637E-2</v>
      </c>
      <c r="F42" s="103"/>
      <c r="G42" s="7"/>
    </row>
    <row r="43" spans="2:7" x14ac:dyDescent="0.15">
      <c r="B43" s="7">
        <v>55</v>
      </c>
      <c r="C43" s="92">
        <v>1.8336928809570503E-2</v>
      </c>
      <c r="F43" s="103"/>
      <c r="G43" s="7"/>
    </row>
    <row r="44" spans="2:7" x14ac:dyDescent="0.15">
      <c r="B44" s="7">
        <v>56</v>
      </c>
      <c r="C44" s="92">
        <v>1.9219454795057853E-2</v>
      </c>
      <c r="F44" s="104"/>
      <c r="G44" s="7"/>
    </row>
    <row r="45" spans="2:7" x14ac:dyDescent="0.15">
      <c r="B45" s="7">
        <v>57</v>
      </c>
      <c r="C45" s="92">
        <v>1.7699548931162972E-2</v>
      </c>
      <c r="F45" s="104"/>
      <c r="G45" s="7"/>
    </row>
    <row r="46" spans="2:7" x14ac:dyDescent="0.15">
      <c r="B46" s="7">
        <v>58</v>
      </c>
      <c r="C46" s="92">
        <v>1.5689350853108453E-2</v>
      </c>
      <c r="F46" s="103"/>
      <c r="G46" s="7"/>
    </row>
    <row r="47" spans="2:7" x14ac:dyDescent="0.15">
      <c r="B47" s="8">
        <v>59</v>
      </c>
      <c r="C47" s="94">
        <v>1.5051970974700922E-2</v>
      </c>
      <c r="F47" s="103"/>
      <c r="G47" s="7"/>
    </row>
    <row r="48" spans="2:7" x14ac:dyDescent="0.15">
      <c r="B48" s="7">
        <v>60</v>
      </c>
      <c r="C48" s="92">
        <v>1.289468523239851E-2</v>
      </c>
      <c r="F48" s="104"/>
      <c r="G48" s="7"/>
    </row>
    <row r="49" spans="2:7" x14ac:dyDescent="0.15">
      <c r="B49" s="7">
        <v>61</v>
      </c>
      <c r="C49" s="92">
        <v>1.0884487154343989E-2</v>
      </c>
      <c r="F49" s="104"/>
      <c r="G49" s="7"/>
    </row>
    <row r="50" spans="2:7" x14ac:dyDescent="0.15">
      <c r="B50" s="7">
        <v>62</v>
      </c>
      <c r="C50" s="92">
        <v>1.152186703275152E-2</v>
      </c>
      <c r="F50" s="103"/>
      <c r="G50" s="7"/>
    </row>
    <row r="51" spans="2:7" x14ac:dyDescent="0.15">
      <c r="B51" s="7">
        <v>63</v>
      </c>
      <c r="C51" s="92">
        <v>9.2174936262012161E-3</v>
      </c>
      <c r="F51" s="103"/>
      <c r="G51" s="7"/>
    </row>
    <row r="52" spans="2:7" x14ac:dyDescent="0.15">
      <c r="B52" s="7">
        <v>64</v>
      </c>
      <c r="C52" s="92">
        <v>5.9815650127475976E-3</v>
      </c>
      <c r="F52" s="104"/>
      <c r="G52" s="7"/>
    </row>
    <row r="53" spans="2:7" x14ac:dyDescent="0.15">
      <c r="B53" s="8">
        <v>65</v>
      </c>
      <c r="C53" s="94">
        <v>4.51068837026868E-3</v>
      </c>
      <c r="F53" s="104"/>
      <c r="G53" s="7"/>
    </row>
    <row r="54" spans="2:7" x14ac:dyDescent="0.15">
      <c r="B54" s="7">
        <v>66</v>
      </c>
      <c r="C54" s="92">
        <v>3.0398117277897628E-3</v>
      </c>
      <c r="F54" s="103"/>
      <c r="G54" s="7"/>
    </row>
    <row r="55" spans="2:7" x14ac:dyDescent="0.15">
      <c r="B55" s="7">
        <v>67</v>
      </c>
      <c r="C55" s="92">
        <v>2.25534418513434E-3</v>
      </c>
      <c r="F55" s="103"/>
      <c r="G55" s="7"/>
    </row>
    <row r="56" spans="2:7" x14ac:dyDescent="0.15">
      <c r="B56" s="7">
        <v>68</v>
      </c>
      <c r="C56" s="105">
        <v>2.6966071778780154E-3</v>
      </c>
      <c r="F56" s="104"/>
      <c r="G56" s="7"/>
    </row>
    <row r="57" spans="2:7" x14ac:dyDescent="0.15">
      <c r="B57" s="7">
        <v>69</v>
      </c>
      <c r="C57" s="105">
        <v>1.2747597568150619E-3</v>
      </c>
      <c r="F57" s="104"/>
      <c r="G57" s="7"/>
    </row>
    <row r="58" spans="2:7" x14ac:dyDescent="0.15">
      <c r="B58" s="8">
        <v>70</v>
      </c>
      <c r="C58" s="94">
        <v>8.3349676407138654E-4</v>
      </c>
      <c r="F58" s="103"/>
      <c r="G58" s="7"/>
    </row>
    <row r="59" spans="2:7" x14ac:dyDescent="0.15">
      <c r="C59" s="106"/>
      <c r="F59" s="103"/>
      <c r="G59" s="7"/>
    </row>
    <row r="60" spans="2:7" x14ac:dyDescent="0.15">
      <c r="F60" s="104"/>
      <c r="G60" s="7"/>
    </row>
    <row r="61" spans="2:7" x14ac:dyDescent="0.15">
      <c r="F61" s="104"/>
      <c r="G61" s="7"/>
    </row>
    <row r="62" spans="2:7" x14ac:dyDescent="0.15">
      <c r="F62" s="103"/>
      <c r="G62" s="7"/>
    </row>
    <row r="63" spans="2:7" x14ac:dyDescent="0.15">
      <c r="F63" s="103"/>
      <c r="G63" s="7"/>
    </row>
    <row r="64" spans="2:7" x14ac:dyDescent="0.15">
      <c r="F64" s="104"/>
      <c r="G64" s="7"/>
    </row>
    <row r="65" spans="2:7" ht="34.25" customHeight="1" x14ac:dyDescent="0.15">
      <c r="B65" s="159" t="s">
        <v>2094</v>
      </c>
      <c r="C65" s="159"/>
      <c r="F65" s="104"/>
      <c r="G65" s="7"/>
    </row>
    <row r="66" spans="2:7" x14ac:dyDescent="0.15">
      <c r="B66" s="108" t="s">
        <v>2031</v>
      </c>
      <c r="C66" s="109" t="s">
        <v>2030</v>
      </c>
      <c r="F66" s="103"/>
    </row>
    <row r="67" spans="2:7" ht="45" x14ac:dyDescent="0.15">
      <c r="B67" s="130" t="s">
        <v>2093</v>
      </c>
      <c r="C67" s="111" t="s">
        <v>2039</v>
      </c>
      <c r="F67" s="103"/>
    </row>
    <row r="68" spans="2:7" ht="45" x14ac:dyDescent="0.15">
      <c r="B68" s="110" t="s">
        <v>2032</v>
      </c>
      <c r="C68" s="112" t="s">
        <v>2063</v>
      </c>
      <c r="F68" s="104"/>
    </row>
    <row r="69" spans="2:7" x14ac:dyDescent="0.15">
      <c r="B69" s="20" t="s">
        <v>2092</v>
      </c>
      <c r="C69" s="113" t="s">
        <v>2033</v>
      </c>
      <c r="F69" s="104"/>
    </row>
    <row r="70" spans="2:7" x14ac:dyDescent="0.15">
      <c r="C70" s="93"/>
      <c r="F70" s="103"/>
    </row>
    <row r="71" spans="2:7" x14ac:dyDescent="0.15">
      <c r="C71" s="93"/>
      <c r="F71" s="103"/>
    </row>
    <row r="72" spans="2:7" x14ac:dyDescent="0.15">
      <c r="C72" s="93"/>
      <c r="F72" s="104"/>
    </row>
    <row r="73" spans="2:7" x14ac:dyDescent="0.15">
      <c r="C73" s="93"/>
      <c r="F73" s="104"/>
    </row>
    <row r="74" spans="2:7" x14ac:dyDescent="0.15">
      <c r="C74" s="93"/>
      <c r="F74" s="103"/>
    </row>
    <row r="75" spans="2:7" ht="28.75" customHeight="1" x14ac:dyDescent="0.15">
      <c r="B75" s="159" t="s">
        <v>2083</v>
      </c>
      <c r="C75" s="159"/>
      <c r="F75" s="103"/>
    </row>
    <row r="76" spans="2:7" x14ac:dyDescent="0.15">
      <c r="B76" s="108" t="s">
        <v>2031</v>
      </c>
      <c r="C76" s="109" t="s">
        <v>2034</v>
      </c>
    </row>
    <row r="77" spans="2:7" ht="74.5" customHeight="1" x14ac:dyDescent="0.15">
      <c r="B77" s="110" t="s">
        <v>2038</v>
      </c>
      <c r="C77" s="112" t="s">
        <v>2035</v>
      </c>
    </row>
    <row r="78" spans="2:7" ht="90" x14ac:dyDescent="0.15">
      <c r="B78" s="110" t="s">
        <v>2032</v>
      </c>
      <c r="C78" s="112" t="s">
        <v>2036</v>
      </c>
    </row>
    <row r="79" spans="2:7" ht="15" x14ac:dyDescent="0.15">
      <c r="B79" s="110" t="s">
        <v>2090</v>
      </c>
      <c r="C79" s="112" t="s">
        <v>2039</v>
      </c>
    </row>
    <row r="80" spans="2:7" x14ac:dyDescent="0.15">
      <c r="B80" s="20" t="s">
        <v>2092</v>
      </c>
      <c r="C80" s="113" t="s">
        <v>2037</v>
      </c>
    </row>
    <row r="83" spans="2:3" x14ac:dyDescent="0.15">
      <c r="B83" s="160" t="s">
        <v>2089</v>
      </c>
      <c r="C83" s="160"/>
    </row>
    <row r="84" spans="2:3" x14ac:dyDescent="0.15">
      <c r="B84" s="128" t="s">
        <v>2031</v>
      </c>
      <c r="C84" s="129" t="s">
        <v>2034</v>
      </c>
    </row>
    <row r="85" spans="2:3" ht="15" x14ac:dyDescent="0.15">
      <c r="B85" s="110" t="s">
        <v>2090</v>
      </c>
      <c r="C85" s="112" t="s">
        <v>2091</v>
      </c>
    </row>
    <row r="86" spans="2:3" x14ac:dyDescent="0.15">
      <c r="B86" s="20"/>
      <c r="C86" s="113" t="s">
        <v>2039</v>
      </c>
    </row>
  </sheetData>
  <mergeCells count="5">
    <mergeCell ref="B4:C4"/>
    <mergeCell ref="F4:G4"/>
    <mergeCell ref="B65:C65"/>
    <mergeCell ref="B75:C75"/>
    <mergeCell ref="B83:C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647B3-9514-403E-93BC-4F72D058FC1E}">
  <dimension ref="A3:O1046"/>
  <sheetViews>
    <sheetView zoomScale="70" zoomScaleNormal="70" workbookViewId="0">
      <selection activeCell="K23" sqref="K23"/>
    </sheetView>
  </sheetViews>
  <sheetFormatPr baseColWidth="10" defaultColWidth="8.83203125" defaultRowHeight="14" x14ac:dyDescent="0.15"/>
  <cols>
    <col min="1" max="1" width="27.5" style="19" bestFit="1" customWidth="1" collapsed="1"/>
    <col min="2" max="2" width="20.1640625" style="19" customWidth="1" collapsed="1"/>
    <col min="3" max="3" width="36.1640625" style="19" customWidth="1" collapsed="1"/>
    <col min="4" max="4" width="8.83203125" style="19"/>
    <col min="5" max="5" width="28.83203125" style="19" customWidth="1" collapsed="1"/>
    <col min="6" max="6" width="35.83203125" style="15" customWidth="1" collapsed="1"/>
    <col min="7" max="7" width="28.83203125" style="15" customWidth="1" collapsed="1"/>
    <col min="8" max="9" width="8.83203125" style="19"/>
    <col min="10" max="10" width="17.5" style="19" customWidth="1" collapsed="1"/>
    <col min="11" max="11" width="19.83203125" style="19" customWidth="1" collapsed="1"/>
    <col min="12" max="12" width="15.83203125" style="19" customWidth="1" collapsed="1"/>
    <col min="13" max="13" width="8.83203125" style="19"/>
    <col min="14" max="14" width="17.5" style="19" customWidth="1" collapsed="1"/>
    <col min="15" max="15" width="25" style="19" customWidth="1" collapsed="1"/>
    <col min="16" max="16384" width="8.83203125" style="19"/>
  </cols>
  <sheetData>
    <row r="3" spans="1:7" x14ac:dyDescent="0.15">
      <c r="B3" s="163" t="s">
        <v>2086</v>
      </c>
      <c r="C3" s="163"/>
      <c r="F3" s="19"/>
      <c r="G3" s="19"/>
    </row>
    <row r="4" spans="1:7" x14ac:dyDescent="0.15">
      <c r="B4" s="116" t="s">
        <v>44</v>
      </c>
      <c r="C4" s="117" t="s">
        <v>16</v>
      </c>
      <c r="F4" s="19"/>
      <c r="G4" s="19"/>
    </row>
    <row r="5" spans="1:7" x14ac:dyDescent="0.15">
      <c r="B5" s="19">
        <v>12</v>
      </c>
      <c r="C5" s="26">
        <v>8.3330000000000001E-2</v>
      </c>
      <c r="F5" s="19"/>
      <c r="G5" s="19"/>
    </row>
    <row r="6" spans="1:7" x14ac:dyDescent="0.15">
      <c r="B6" s="19">
        <v>24</v>
      </c>
      <c r="C6" s="26">
        <v>4.1669999999999999E-2</v>
      </c>
      <c r="F6" s="19"/>
      <c r="G6" s="19"/>
    </row>
    <row r="7" spans="1:7" x14ac:dyDescent="0.15">
      <c r="B7" s="19">
        <v>26</v>
      </c>
      <c r="C7" s="26">
        <v>3.8460000000000001E-2</v>
      </c>
      <c r="F7" s="19"/>
      <c r="G7" s="19"/>
    </row>
    <row r="8" spans="1:7" x14ac:dyDescent="0.15">
      <c r="B8" s="20">
        <v>52</v>
      </c>
      <c r="C8" s="21">
        <v>1.9230000000000001E-2</v>
      </c>
      <c r="F8" s="19"/>
      <c r="G8" s="19"/>
    </row>
    <row r="11" spans="1:7" ht="30" customHeight="1" x14ac:dyDescent="0.15">
      <c r="A11" s="118" t="s">
        <v>2021</v>
      </c>
      <c r="B11" s="162" t="s">
        <v>14</v>
      </c>
      <c r="C11" s="162"/>
      <c r="E11" s="118" t="s">
        <v>2021</v>
      </c>
      <c r="F11" s="164" t="s">
        <v>1055</v>
      </c>
      <c r="G11" s="164"/>
    </row>
    <row r="12" spans="1:7" x14ac:dyDescent="0.15">
      <c r="B12" s="1" t="s">
        <v>15</v>
      </c>
      <c r="C12" s="2" t="s">
        <v>16</v>
      </c>
      <c r="F12" s="11" t="s">
        <v>1056</v>
      </c>
      <c r="G12" s="12" t="s">
        <v>16</v>
      </c>
    </row>
    <row r="13" spans="1:7" x14ac:dyDescent="0.15">
      <c r="B13" s="3" t="s">
        <v>17</v>
      </c>
      <c r="C13" s="4">
        <v>1.1599999999999999</v>
      </c>
      <c r="F13" s="9" t="s">
        <v>1057</v>
      </c>
      <c r="G13" s="4">
        <v>1</v>
      </c>
    </row>
    <row r="14" spans="1:7" x14ac:dyDescent="0.15">
      <c r="B14" s="3" t="s">
        <v>18</v>
      </c>
      <c r="C14" s="4">
        <v>0.95</v>
      </c>
      <c r="F14" s="9" t="s">
        <v>1058</v>
      </c>
      <c r="G14" s="4">
        <v>1</v>
      </c>
    </row>
    <row r="15" spans="1:7" x14ac:dyDescent="0.15">
      <c r="B15" s="3" t="s">
        <v>19</v>
      </c>
      <c r="C15" s="4">
        <v>0.95</v>
      </c>
      <c r="F15" s="9" t="s">
        <v>1059</v>
      </c>
      <c r="G15" s="4">
        <v>1</v>
      </c>
    </row>
    <row r="16" spans="1:7" x14ac:dyDescent="0.15">
      <c r="B16" s="3" t="s">
        <v>20</v>
      </c>
      <c r="C16" s="4">
        <v>0.95</v>
      </c>
      <c r="F16" s="9" t="s">
        <v>1060</v>
      </c>
      <c r="G16" s="4">
        <v>1</v>
      </c>
    </row>
    <row r="17" spans="2:12" x14ac:dyDescent="0.15">
      <c r="B17" s="3" t="s">
        <v>21</v>
      </c>
      <c r="C17" s="4">
        <v>0.98</v>
      </c>
      <c r="F17" s="10">
        <v>1</v>
      </c>
      <c r="G17" s="6">
        <v>1</v>
      </c>
    </row>
    <row r="18" spans="2:12" x14ac:dyDescent="0.15">
      <c r="B18" s="3" t="s">
        <v>22</v>
      </c>
      <c r="C18" s="4">
        <v>0.98</v>
      </c>
      <c r="F18" s="13"/>
      <c r="G18" s="14"/>
    </row>
    <row r="19" spans="2:12" x14ac:dyDescent="0.15">
      <c r="B19" s="3" t="s">
        <v>23</v>
      </c>
      <c r="C19" s="4">
        <v>0.98</v>
      </c>
      <c r="F19" s="13"/>
      <c r="G19" s="14"/>
    </row>
    <row r="20" spans="2:12" ht="30" x14ac:dyDescent="0.15">
      <c r="B20" s="3" t="s">
        <v>24</v>
      </c>
      <c r="C20" s="4">
        <v>0.98</v>
      </c>
      <c r="E20" s="118" t="s">
        <v>2021</v>
      </c>
      <c r="F20" s="166" t="s">
        <v>2085</v>
      </c>
      <c r="G20" s="166"/>
    </row>
    <row r="21" spans="2:12" x14ac:dyDescent="0.15">
      <c r="B21" s="3"/>
      <c r="C21" s="4"/>
      <c r="F21" s="116" t="s">
        <v>44</v>
      </c>
      <c r="G21" s="119" t="s">
        <v>16</v>
      </c>
    </row>
    <row r="22" spans="2:12" x14ac:dyDescent="0.15">
      <c r="B22" s="3"/>
      <c r="C22" s="4"/>
      <c r="F22" s="120" t="s">
        <v>2016</v>
      </c>
      <c r="G22" s="121">
        <v>1</v>
      </c>
    </row>
    <row r="23" spans="2:12" x14ac:dyDescent="0.15">
      <c r="B23" s="3"/>
      <c r="C23" s="4"/>
      <c r="F23" s="120" t="s">
        <v>2017</v>
      </c>
      <c r="G23" s="121">
        <v>1</v>
      </c>
    </row>
    <row r="24" spans="2:12" x14ac:dyDescent="0.15">
      <c r="B24" s="3"/>
      <c r="C24" s="4"/>
      <c r="F24" s="120" t="s">
        <v>2018</v>
      </c>
      <c r="G24" s="121">
        <v>1</v>
      </c>
    </row>
    <row r="25" spans="2:12" x14ac:dyDescent="0.15">
      <c r="B25" s="3"/>
      <c r="C25" s="4"/>
      <c r="F25" s="120" t="s">
        <v>2019</v>
      </c>
      <c r="G25" s="122">
        <v>1</v>
      </c>
    </row>
    <row r="26" spans="2:12" x14ac:dyDescent="0.15">
      <c r="B26" s="3"/>
      <c r="C26" s="4"/>
      <c r="F26" s="123" t="s">
        <v>2020</v>
      </c>
      <c r="G26" s="124">
        <v>1</v>
      </c>
    </row>
    <row r="27" spans="2:12" x14ac:dyDescent="0.15">
      <c r="B27" s="3"/>
      <c r="C27" s="4"/>
    </row>
    <row r="28" spans="2:12" x14ac:dyDescent="0.15">
      <c r="B28" s="3"/>
      <c r="C28" s="4"/>
    </row>
    <row r="29" spans="2:12" x14ac:dyDescent="0.15">
      <c r="B29" s="3"/>
      <c r="C29" s="4"/>
    </row>
    <row r="30" spans="2:12" ht="45" x14ac:dyDescent="0.15">
      <c r="B30" s="3" t="s">
        <v>25</v>
      </c>
      <c r="C30" s="4">
        <v>0.99</v>
      </c>
      <c r="E30" s="118" t="s">
        <v>2021</v>
      </c>
      <c r="F30" s="165" t="s">
        <v>1061</v>
      </c>
      <c r="G30" s="165"/>
      <c r="J30" s="118" t="s">
        <v>2021</v>
      </c>
      <c r="K30" s="161" t="s">
        <v>2087</v>
      </c>
      <c r="L30" s="161"/>
    </row>
    <row r="31" spans="2:12" x14ac:dyDescent="0.15">
      <c r="B31" s="3" t="s">
        <v>26</v>
      </c>
      <c r="C31" s="4">
        <v>0.99</v>
      </c>
      <c r="F31" s="16" t="s">
        <v>1062</v>
      </c>
      <c r="G31" s="2" t="s">
        <v>16</v>
      </c>
      <c r="K31" s="116" t="s">
        <v>1975</v>
      </c>
      <c r="L31" s="117" t="s">
        <v>16</v>
      </c>
    </row>
    <row r="32" spans="2:12" x14ac:dyDescent="0.15">
      <c r="B32" s="3" t="s">
        <v>27</v>
      </c>
      <c r="C32" s="4">
        <v>1.04</v>
      </c>
      <c r="F32" s="3" t="s">
        <v>1063</v>
      </c>
      <c r="G32" s="4">
        <v>1</v>
      </c>
      <c r="K32" s="122" t="s">
        <v>1976</v>
      </c>
      <c r="L32" s="125">
        <v>0.5</v>
      </c>
    </row>
    <row r="33" spans="1:12" x14ac:dyDescent="0.15">
      <c r="B33" s="3" t="s">
        <v>28</v>
      </c>
      <c r="C33" s="4">
        <v>1.04</v>
      </c>
      <c r="F33" s="3" t="s">
        <v>1064</v>
      </c>
      <c r="G33" s="4">
        <v>1</v>
      </c>
      <c r="K33" s="122" t="s">
        <v>1977</v>
      </c>
      <c r="L33" s="125">
        <v>0.5</v>
      </c>
    </row>
    <row r="34" spans="1:12" x14ac:dyDescent="0.15">
      <c r="B34" s="3" t="s">
        <v>29</v>
      </c>
      <c r="C34" s="4">
        <v>1.1000000000000001</v>
      </c>
      <c r="F34" s="3" t="s">
        <v>1065</v>
      </c>
      <c r="G34" s="4">
        <v>1</v>
      </c>
      <c r="K34" s="122" t="s">
        <v>1978</v>
      </c>
      <c r="L34" s="125">
        <v>0.5</v>
      </c>
    </row>
    <row r="35" spans="1:12" x14ac:dyDescent="0.15">
      <c r="B35" s="3" t="s">
        <v>30</v>
      </c>
      <c r="C35" s="4">
        <v>1.1000000000000001</v>
      </c>
      <c r="F35" s="3" t="s">
        <v>1066</v>
      </c>
      <c r="G35" s="4">
        <v>1</v>
      </c>
      <c r="K35" s="122" t="s">
        <v>1979</v>
      </c>
      <c r="L35" s="125">
        <v>0.5</v>
      </c>
    </row>
    <row r="36" spans="1:12" x14ac:dyDescent="0.15">
      <c r="B36" s="5" t="s">
        <v>31</v>
      </c>
      <c r="C36" s="6">
        <v>1.1000000000000001</v>
      </c>
      <c r="F36" s="3" t="s">
        <v>1067</v>
      </c>
      <c r="G36" s="4">
        <v>1</v>
      </c>
      <c r="K36" s="122" t="s">
        <v>1980</v>
      </c>
      <c r="L36" s="125">
        <v>0.6</v>
      </c>
    </row>
    <row r="37" spans="1:12" x14ac:dyDescent="0.15">
      <c r="F37" s="3" t="s">
        <v>1068</v>
      </c>
      <c r="G37" s="4">
        <v>1</v>
      </c>
      <c r="K37" s="122" t="s">
        <v>1981</v>
      </c>
      <c r="L37" s="125">
        <v>0.5</v>
      </c>
    </row>
    <row r="38" spans="1:12" x14ac:dyDescent="0.15">
      <c r="B38" s="18"/>
      <c r="F38" s="3" t="s">
        <v>1069</v>
      </c>
      <c r="G38" s="4">
        <v>1</v>
      </c>
      <c r="K38" s="122" t="s">
        <v>1983</v>
      </c>
      <c r="L38" s="125">
        <v>0.5</v>
      </c>
    </row>
    <row r="39" spans="1:12" ht="29" customHeight="1" x14ac:dyDescent="0.15">
      <c r="A39" s="118" t="s">
        <v>2021</v>
      </c>
      <c r="B39" s="162" t="s">
        <v>47</v>
      </c>
      <c r="C39" s="162"/>
      <c r="F39" s="3" t="s">
        <v>1070</v>
      </c>
      <c r="G39" s="4">
        <v>1</v>
      </c>
      <c r="J39" s="122"/>
      <c r="K39" s="122" t="s">
        <v>1984</v>
      </c>
      <c r="L39" s="125">
        <v>0.5</v>
      </c>
    </row>
    <row r="40" spans="1:12" ht="14.5" customHeight="1" x14ac:dyDescent="0.15">
      <c r="B40" s="1" t="s">
        <v>48</v>
      </c>
      <c r="C40" s="2" t="s">
        <v>16</v>
      </c>
      <c r="F40" s="3" t="s">
        <v>1071</v>
      </c>
      <c r="G40" s="4">
        <v>1</v>
      </c>
      <c r="K40" s="122" t="s">
        <v>1985</v>
      </c>
      <c r="L40" s="125">
        <v>0.5</v>
      </c>
    </row>
    <row r="41" spans="1:12" x14ac:dyDescent="0.15">
      <c r="B41" s="9" t="s">
        <v>49</v>
      </c>
      <c r="C41" s="4">
        <v>3</v>
      </c>
      <c r="F41" s="3" t="s">
        <v>1072</v>
      </c>
      <c r="G41" s="4">
        <v>1</v>
      </c>
      <c r="K41" s="122" t="s">
        <v>1987</v>
      </c>
      <c r="L41" s="125">
        <v>0.5</v>
      </c>
    </row>
    <row r="42" spans="1:12" x14ac:dyDescent="0.15">
      <c r="B42" s="9" t="s">
        <v>50</v>
      </c>
      <c r="C42" s="4">
        <v>0.85</v>
      </c>
      <c r="F42" s="3" t="s">
        <v>1073</v>
      </c>
      <c r="G42" s="4">
        <v>1</v>
      </c>
      <c r="K42" s="122" t="s">
        <v>1988</v>
      </c>
      <c r="L42" s="125">
        <v>0.6</v>
      </c>
    </row>
    <row r="43" spans="1:12" x14ac:dyDescent="0.15">
      <c r="B43" s="9" t="s">
        <v>51</v>
      </c>
      <c r="C43" s="4">
        <v>0.85</v>
      </c>
      <c r="F43" s="3" t="s">
        <v>1074</v>
      </c>
      <c r="G43" s="4">
        <v>1</v>
      </c>
      <c r="K43" s="122" t="s">
        <v>1989</v>
      </c>
      <c r="L43" s="125">
        <v>0.5</v>
      </c>
    </row>
    <row r="44" spans="1:12" x14ac:dyDescent="0.15">
      <c r="B44" s="9" t="s">
        <v>52</v>
      </c>
      <c r="C44" s="4">
        <v>0.85</v>
      </c>
      <c r="F44" s="3" t="s">
        <v>1075</v>
      </c>
      <c r="G44" s="4">
        <v>1</v>
      </c>
      <c r="K44" s="122" t="s">
        <v>1990</v>
      </c>
      <c r="L44" s="125">
        <v>0.5</v>
      </c>
    </row>
    <row r="45" spans="1:12" x14ac:dyDescent="0.15">
      <c r="B45" s="9" t="s">
        <v>53</v>
      </c>
      <c r="C45" s="4">
        <v>0.85</v>
      </c>
      <c r="F45" s="3" t="s">
        <v>1076</v>
      </c>
      <c r="G45" s="4">
        <v>1</v>
      </c>
      <c r="K45" s="122" t="s">
        <v>1991</v>
      </c>
      <c r="L45" s="125">
        <v>0.5</v>
      </c>
    </row>
    <row r="46" spans="1:12" x14ac:dyDescent="0.15">
      <c r="B46" s="9" t="s">
        <v>54</v>
      </c>
      <c r="C46" s="4">
        <v>0.85</v>
      </c>
      <c r="F46" s="3" t="s">
        <v>1077</v>
      </c>
      <c r="G46" s="4">
        <v>1</v>
      </c>
      <c r="K46" s="122" t="s">
        <v>1992</v>
      </c>
      <c r="L46" s="125">
        <v>0.5</v>
      </c>
    </row>
    <row r="47" spans="1:12" x14ac:dyDescent="0.15">
      <c r="B47" s="9" t="s">
        <v>55</v>
      </c>
      <c r="C47" s="4">
        <v>0.85</v>
      </c>
      <c r="F47" s="3" t="s">
        <v>1078</v>
      </c>
      <c r="G47" s="4">
        <v>1</v>
      </c>
      <c r="K47" s="122" t="s">
        <v>1994</v>
      </c>
      <c r="L47" s="125">
        <v>0.5</v>
      </c>
    </row>
    <row r="48" spans="1:12" x14ac:dyDescent="0.15">
      <c r="B48" s="9" t="s">
        <v>56</v>
      </c>
      <c r="C48" s="4">
        <v>0.85</v>
      </c>
      <c r="F48" s="3" t="s">
        <v>1079</v>
      </c>
      <c r="G48" s="4">
        <v>1</v>
      </c>
      <c r="K48" s="122" t="s">
        <v>1995</v>
      </c>
      <c r="L48" s="125">
        <v>0.67279999999999995</v>
      </c>
    </row>
    <row r="49" spans="2:12" x14ac:dyDescent="0.15">
      <c r="B49" s="9" t="s">
        <v>57</v>
      </c>
      <c r="C49" s="4">
        <v>0.85</v>
      </c>
      <c r="F49" s="3" t="s">
        <v>1080</v>
      </c>
      <c r="G49" s="4">
        <v>1</v>
      </c>
      <c r="K49" s="122" t="s">
        <v>1996</v>
      </c>
      <c r="L49" s="125">
        <v>0.5</v>
      </c>
    </row>
    <row r="50" spans="2:12" x14ac:dyDescent="0.15">
      <c r="B50" s="9" t="s">
        <v>58</v>
      </c>
      <c r="C50" s="4">
        <v>0.85</v>
      </c>
      <c r="F50" s="3" t="s">
        <v>1081</v>
      </c>
      <c r="G50" s="4">
        <v>1</v>
      </c>
      <c r="K50" s="122" t="s">
        <v>1997</v>
      </c>
      <c r="L50" s="125">
        <v>0.5</v>
      </c>
    </row>
    <row r="51" spans="2:12" x14ac:dyDescent="0.15">
      <c r="B51" s="9" t="s">
        <v>59</v>
      </c>
      <c r="C51" s="4">
        <v>0.85</v>
      </c>
      <c r="F51" s="3" t="s">
        <v>1082</v>
      </c>
      <c r="G51" s="4">
        <v>1</v>
      </c>
      <c r="K51" s="122" t="s">
        <v>1998</v>
      </c>
      <c r="L51" s="125">
        <v>0.5</v>
      </c>
    </row>
    <row r="52" spans="2:12" x14ac:dyDescent="0.15">
      <c r="B52" s="9" t="s">
        <v>60</v>
      </c>
      <c r="C52" s="4">
        <v>0.85</v>
      </c>
      <c r="F52" s="3" t="s">
        <v>1083</v>
      </c>
      <c r="G52" s="4">
        <v>1</v>
      </c>
      <c r="K52" s="122" t="s">
        <v>2001</v>
      </c>
      <c r="L52" s="125">
        <v>0.5</v>
      </c>
    </row>
    <row r="53" spans="2:12" x14ac:dyDescent="0.15">
      <c r="B53" s="9" t="s">
        <v>61</v>
      </c>
      <c r="C53" s="4">
        <v>0.85</v>
      </c>
      <c r="F53" s="3" t="s">
        <v>1084</v>
      </c>
      <c r="G53" s="4">
        <v>1</v>
      </c>
      <c r="K53" s="122" t="s">
        <v>2002</v>
      </c>
      <c r="L53" s="125">
        <v>0.6</v>
      </c>
    </row>
    <row r="54" spans="2:12" x14ac:dyDescent="0.15">
      <c r="B54" s="9" t="s">
        <v>62</v>
      </c>
      <c r="C54" s="4">
        <v>0.85</v>
      </c>
      <c r="F54" s="3" t="s">
        <v>1085</v>
      </c>
      <c r="G54" s="4">
        <v>1</v>
      </c>
      <c r="K54" s="122" t="s">
        <v>2003</v>
      </c>
      <c r="L54" s="125">
        <v>0.5</v>
      </c>
    </row>
    <row r="55" spans="2:12" x14ac:dyDescent="0.15">
      <c r="B55" s="9" t="s">
        <v>63</v>
      </c>
      <c r="C55" s="4">
        <v>0.85</v>
      </c>
      <c r="F55" s="3" t="s">
        <v>1086</v>
      </c>
      <c r="G55" s="4">
        <v>1</v>
      </c>
      <c r="K55" s="122" t="s">
        <v>2004</v>
      </c>
      <c r="L55" s="125">
        <v>0.51</v>
      </c>
    </row>
    <row r="56" spans="2:12" x14ac:dyDescent="0.15">
      <c r="B56" s="9" t="s">
        <v>64</v>
      </c>
      <c r="C56" s="4">
        <v>0.85</v>
      </c>
      <c r="F56" s="3" t="s">
        <v>1087</v>
      </c>
      <c r="G56" s="4">
        <v>1</v>
      </c>
      <c r="K56" s="122" t="s">
        <v>2005</v>
      </c>
      <c r="L56" s="125">
        <v>0.5</v>
      </c>
    </row>
    <row r="57" spans="2:12" x14ac:dyDescent="0.15">
      <c r="B57" s="9" t="s">
        <v>65</v>
      </c>
      <c r="C57" s="4">
        <v>0.85</v>
      </c>
      <c r="F57" s="3" t="s">
        <v>1088</v>
      </c>
      <c r="G57" s="4">
        <v>1</v>
      </c>
      <c r="K57" s="122" t="s">
        <v>2006</v>
      </c>
      <c r="L57" s="125">
        <v>0.5</v>
      </c>
    </row>
    <row r="58" spans="2:12" x14ac:dyDescent="0.15">
      <c r="B58" s="9" t="s">
        <v>66</v>
      </c>
      <c r="C58" s="4">
        <v>0.85</v>
      </c>
      <c r="F58" s="3" t="s">
        <v>1089</v>
      </c>
      <c r="G58" s="4">
        <v>1</v>
      </c>
      <c r="K58" s="122" t="s">
        <v>2007</v>
      </c>
      <c r="L58" s="125">
        <v>0.5</v>
      </c>
    </row>
    <row r="59" spans="2:12" x14ac:dyDescent="0.15">
      <c r="B59" s="9" t="s">
        <v>67</v>
      </c>
      <c r="C59" s="4">
        <v>0.85</v>
      </c>
      <c r="F59" s="3" t="s">
        <v>1090</v>
      </c>
      <c r="G59" s="4">
        <v>1</v>
      </c>
      <c r="K59" s="122" t="s">
        <v>2008</v>
      </c>
      <c r="L59" s="125">
        <v>0.5</v>
      </c>
    </row>
    <row r="60" spans="2:12" x14ac:dyDescent="0.15">
      <c r="B60" s="9" t="s">
        <v>68</v>
      </c>
      <c r="C60" s="4">
        <v>0.85</v>
      </c>
      <c r="F60" s="3" t="s">
        <v>1091</v>
      </c>
      <c r="G60" s="4">
        <v>1</v>
      </c>
      <c r="K60" s="122" t="s">
        <v>2009</v>
      </c>
      <c r="L60" s="125">
        <v>0.5</v>
      </c>
    </row>
    <row r="61" spans="2:12" x14ac:dyDescent="0.15">
      <c r="B61" s="9" t="s">
        <v>69</v>
      </c>
      <c r="C61" s="4">
        <v>0.85</v>
      </c>
      <c r="F61" s="3" t="s">
        <v>1092</v>
      </c>
      <c r="G61" s="4">
        <v>1</v>
      </c>
      <c r="K61" s="122" t="s">
        <v>2010</v>
      </c>
      <c r="L61" s="125">
        <v>0.5</v>
      </c>
    </row>
    <row r="62" spans="2:12" x14ac:dyDescent="0.15">
      <c r="B62" s="9" t="s">
        <v>70</v>
      </c>
      <c r="C62" s="4">
        <v>0.85</v>
      </c>
      <c r="F62" s="3" t="s">
        <v>1093</v>
      </c>
      <c r="G62" s="4">
        <v>1</v>
      </c>
      <c r="K62" s="122" t="s">
        <v>2011</v>
      </c>
      <c r="L62" s="125">
        <v>0.5</v>
      </c>
    </row>
    <row r="63" spans="2:12" x14ac:dyDescent="0.15">
      <c r="B63" s="9" t="s">
        <v>71</v>
      </c>
      <c r="C63" s="4">
        <v>0.85</v>
      </c>
      <c r="F63" s="3" t="s">
        <v>1094</v>
      </c>
      <c r="G63" s="4">
        <v>1</v>
      </c>
      <c r="K63" s="122" t="s">
        <v>2013</v>
      </c>
      <c r="L63" s="125">
        <v>0.5</v>
      </c>
    </row>
    <row r="64" spans="2:12" x14ac:dyDescent="0.15">
      <c r="B64" s="9" t="s">
        <v>72</v>
      </c>
      <c r="C64" s="4">
        <v>0.85</v>
      </c>
      <c r="F64" s="3" t="s">
        <v>1095</v>
      </c>
      <c r="G64" s="4">
        <v>1</v>
      </c>
      <c r="K64" s="122" t="s">
        <v>2014</v>
      </c>
      <c r="L64" s="125">
        <v>0.5</v>
      </c>
    </row>
    <row r="65" spans="2:12" x14ac:dyDescent="0.15">
      <c r="B65" s="9" t="s">
        <v>73</v>
      </c>
      <c r="C65" s="4">
        <v>0.85</v>
      </c>
      <c r="F65" s="3" t="s">
        <v>1096</v>
      </c>
      <c r="G65" s="4">
        <v>1</v>
      </c>
      <c r="K65" s="124" t="s">
        <v>2015</v>
      </c>
      <c r="L65" s="126">
        <v>0.5</v>
      </c>
    </row>
    <row r="66" spans="2:12" x14ac:dyDescent="0.15">
      <c r="B66" s="9" t="s">
        <v>74</v>
      </c>
      <c r="C66" s="4">
        <v>0.85</v>
      </c>
      <c r="F66" s="3" t="s">
        <v>1097</v>
      </c>
      <c r="G66" s="4">
        <v>1</v>
      </c>
      <c r="K66" s="122" t="s">
        <v>1982</v>
      </c>
      <c r="L66" s="125">
        <v>0.6</v>
      </c>
    </row>
    <row r="67" spans="2:12" x14ac:dyDescent="0.15">
      <c r="B67" s="9" t="s">
        <v>75</v>
      </c>
      <c r="C67" s="4">
        <v>0.85</v>
      </c>
      <c r="F67" s="3" t="s">
        <v>1098</v>
      </c>
      <c r="G67" s="4">
        <v>1</v>
      </c>
      <c r="K67" s="122" t="s">
        <v>1986</v>
      </c>
      <c r="L67" s="125">
        <v>0.5</v>
      </c>
    </row>
    <row r="68" spans="2:12" x14ac:dyDescent="0.15">
      <c r="B68" s="9" t="s">
        <v>76</v>
      </c>
      <c r="C68" s="4">
        <v>0.85</v>
      </c>
      <c r="F68" s="3" t="s">
        <v>1099</v>
      </c>
      <c r="G68" s="4">
        <v>1</v>
      </c>
      <c r="K68" s="122" t="s">
        <v>1993</v>
      </c>
      <c r="L68" s="125">
        <v>0.5</v>
      </c>
    </row>
    <row r="69" spans="2:12" x14ac:dyDescent="0.15">
      <c r="B69" s="9" t="s">
        <v>77</v>
      </c>
      <c r="C69" s="4">
        <v>0.85</v>
      </c>
      <c r="F69" s="3" t="s">
        <v>1100</v>
      </c>
      <c r="G69" s="4">
        <v>1</v>
      </c>
      <c r="K69" s="122" t="s">
        <v>1999</v>
      </c>
      <c r="L69" s="125">
        <v>0.5</v>
      </c>
    </row>
    <row r="70" spans="2:12" x14ac:dyDescent="0.15">
      <c r="B70" s="9" t="s">
        <v>78</v>
      </c>
      <c r="C70" s="4">
        <v>0.85</v>
      </c>
      <c r="F70" s="3" t="s">
        <v>1101</v>
      </c>
      <c r="G70" s="4">
        <v>1</v>
      </c>
      <c r="K70" s="122" t="s">
        <v>2000</v>
      </c>
      <c r="L70" s="125">
        <v>0.55000000000000004</v>
      </c>
    </row>
    <row r="71" spans="2:12" x14ac:dyDescent="0.15">
      <c r="B71" s="9" t="s">
        <v>79</v>
      </c>
      <c r="C71" s="4">
        <v>0.85</v>
      </c>
      <c r="F71" s="3" t="s">
        <v>1102</v>
      </c>
      <c r="G71" s="4">
        <v>1</v>
      </c>
      <c r="K71" s="124" t="s">
        <v>2012</v>
      </c>
      <c r="L71" s="126">
        <v>0.5</v>
      </c>
    </row>
    <row r="72" spans="2:12" x14ac:dyDescent="0.15">
      <c r="B72" s="9" t="s">
        <v>80</v>
      </c>
      <c r="C72" s="4">
        <v>0.85</v>
      </c>
      <c r="F72" s="3" t="s">
        <v>1103</v>
      </c>
      <c r="G72" s="4">
        <v>1</v>
      </c>
    </row>
    <row r="73" spans="2:12" x14ac:dyDescent="0.15">
      <c r="B73" s="9" t="s">
        <v>81</v>
      </c>
      <c r="C73" s="4">
        <v>0.85</v>
      </c>
      <c r="F73" s="3" t="s">
        <v>1104</v>
      </c>
      <c r="G73" s="4">
        <v>1</v>
      </c>
    </row>
    <row r="74" spans="2:12" x14ac:dyDescent="0.15">
      <c r="B74" s="9" t="s">
        <v>82</v>
      </c>
      <c r="C74" s="4">
        <v>0.85</v>
      </c>
      <c r="F74" s="3" t="s">
        <v>1105</v>
      </c>
      <c r="G74" s="4">
        <v>1</v>
      </c>
    </row>
    <row r="75" spans="2:12" x14ac:dyDescent="0.15">
      <c r="B75" s="9" t="s">
        <v>83</v>
      </c>
      <c r="C75" s="4">
        <v>0.85</v>
      </c>
      <c r="F75" s="3" t="s">
        <v>1106</v>
      </c>
      <c r="G75" s="4">
        <v>1</v>
      </c>
    </row>
    <row r="76" spans="2:12" x14ac:dyDescent="0.15">
      <c r="B76" s="9" t="s">
        <v>84</v>
      </c>
      <c r="C76" s="4">
        <v>0.85</v>
      </c>
      <c r="F76" s="3" t="s">
        <v>1107</v>
      </c>
      <c r="G76" s="4">
        <v>1</v>
      </c>
    </row>
    <row r="77" spans="2:12" x14ac:dyDescent="0.15">
      <c r="B77" s="9" t="s">
        <v>85</v>
      </c>
      <c r="C77" s="4">
        <v>0.85</v>
      </c>
      <c r="F77" s="3" t="s">
        <v>1108</v>
      </c>
      <c r="G77" s="4">
        <v>1</v>
      </c>
    </row>
    <row r="78" spans="2:12" x14ac:dyDescent="0.15">
      <c r="B78" s="9" t="s">
        <v>86</v>
      </c>
      <c r="C78" s="4">
        <v>0.85</v>
      </c>
      <c r="F78" s="3" t="s">
        <v>1109</v>
      </c>
      <c r="G78" s="4">
        <v>1</v>
      </c>
    </row>
    <row r="79" spans="2:12" x14ac:dyDescent="0.15">
      <c r="B79" s="9" t="s">
        <v>87</v>
      </c>
      <c r="C79" s="4">
        <v>0.85</v>
      </c>
      <c r="F79" s="3" t="s">
        <v>1110</v>
      </c>
      <c r="G79" s="4">
        <v>1</v>
      </c>
    </row>
    <row r="80" spans="2:12" x14ac:dyDescent="0.15">
      <c r="B80" s="9" t="s">
        <v>88</v>
      </c>
      <c r="C80" s="4">
        <v>0.85</v>
      </c>
      <c r="F80" s="3" t="s">
        <v>1111</v>
      </c>
      <c r="G80" s="4">
        <v>1</v>
      </c>
    </row>
    <row r="81" spans="2:7" x14ac:dyDescent="0.15">
      <c r="B81" s="9" t="s">
        <v>89</v>
      </c>
      <c r="C81" s="4">
        <v>0.85</v>
      </c>
      <c r="F81" s="3" t="s">
        <v>1112</v>
      </c>
      <c r="G81" s="4">
        <v>1</v>
      </c>
    </row>
    <row r="82" spans="2:7" x14ac:dyDescent="0.15">
      <c r="B82" s="9" t="s">
        <v>90</v>
      </c>
      <c r="C82" s="4">
        <v>0.85</v>
      </c>
      <c r="F82" s="3" t="s">
        <v>1113</v>
      </c>
      <c r="G82" s="4">
        <v>1</v>
      </c>
    </row>
    <row r="83" spans="2:7" x14ac:dyDescent="0.15">
      <c r="B83" s="9" t="s">
        <v>91</v>
      </c>
      <c r="C83" s="4">
        <v>0.85</v>
      </c>
      <c r="F83" s="3" t="s">
        <v>1114</v>
      </c>
      <c r="G83" s="4">
        <v>1</v>
      </c>
    </row>
    <row r="84" spans="2:7" x14ac:dyDescent="0.15">
      <c r="B84" s="9" t="s">
        <v>92</v>
      </c>
      <c r="C84" s="4">
        <v>0.85</v>
      </c>
      <c r="F84" s="3" t="s">
        <v>1115</v>
      </c>
      <c r="G84" s="4">
        <v>1</v>
      </c>
    </row>
    <row r="85" spans="2:7" x14ac:dyDescent="0.15">
      <c r="B85" s="9" t="s">
        <v>93</v>
      </c>
      <c r="C85" s="4">
        <v>0.85</v>
      </c>
      <c r="F85" s="3" t="s">
        <v>1116</v>
      </c>
      <c r="G85" s="4">
        <v>1</v>
      </c>
    </row>
    <row r="86" spans="2:7" x14ac:dyDescent="0.15">
      <c r="B86" s="9" t="s">
        <v>94</v>
      </c>
      <c r="C86" s="4">
        <v>0.85</v>
      </c>
      <c r="F86" s="3" t="s">
        <v>1117</v>
      </c>
      <c r="G86" s="4">
        <v>1</v>
      </c>
    </row>
    <row r="87" spans="2:7" x14ac:dyDescent="0.15">
      <c r="B87" s="9" t="s">
        <v>95</v>
      </c>
      <c r="C87" s="4">
        <v>0.85</v>
      </c>
      <c r="F87" s="3" t="s">
        <v>1118</v>
      </c>
      <c r="G87" s="4">
        <v>1</v>
      </c>
    </row>
    <row r="88" spans="2:7" x14ac:dyDescent="0.15">
      <c r="B88" s="9" t="s">
        <v>96</v>
      </c>
      <c r="C88" s="4">
        <v>0.85</v>
      </c>
      <c r="F88" s="3" t="s">
        <v>1119</v>
      </c>
      <c r="G88" s="4">
        <v>1</v>
      </c>
    </row>
    <row r="89" spans="2:7" x14ac:dyDescent="0.15">
      <c r="B89" s="9" t="s">
        <v>97</v>
      </c>
      <c r="C89" s="4">
        <v>0.85</v>
      </c>
      <c r="F89" s="3" t="s">
        <v>1120</v>
      </c>
      <c r="G89" s="4">
        <v>1</v>
      </c>
    </row>
    <row r="90" spans="2:7" x14ac:dyDescent="0.15">
      <c r="B90" s="9" t="s">
        <v>98</v>
      </c>
      <c r="C90" s="4">
        <v>0.85</v>
      </c>
      <c r="F90" s="3" t="s">
        <v>1121</v>
      </c>
      <c r="G90" s="4">
        <v>1</v>
      </c>
    </row>
    <row r="91" spans="2:7" x14ac:dyDescent="0.15">
      <c r="B91" s="9" t="s">
        <v>99</v>
      </c>
      <c r="C91" s="4">
        <v>0.85</v>
      </c>
      <c r="F91" s="3" t="s">
        <v>1122</v>
      </c>
      <c r="G91" s="4">
        <v>1</v>
      </c>
    </row>
    <row r="92" spans="2:7" x14ac:dyDescent="0.15">
      <c r="B92" s="9" t="s">
        <v>100</v>
      </c>
      <c r="C92" s="4">
        <v>1.1000000000000001</v>
      </c>
      <c r="F92" s="3" t="s">
        <v>1123</v>
      </c>
      <c r="G92" s="4">
        <v>1</v>
      </c>
    </row>
    <row r="93" spans="2:7" x14ac:dyDescent="0.15">
      <c r="B93" s="9" t="s">
        <v>101</v>
      </c>
      <c r="C93" s="4">
        <v>1.1000000000000001</v>
      </c>
      <c r="F93" s="3" t="s">
        <v>1124</v>
      </c>
      <c r="G93" s="4">
        <v>1</v>
      </c>
    </row>
    <row r="94" spans="2:7" x14ac:dyDescent="0.15">
      <c r="B94" s="9" t="s">
        <v>102</v>
      </c>
      <c r="C94" s="4">
        <v>1.1000000000000001</v>
      </c>
      <c r="F94" s="3" t="s">
        <v>1125</v>
      </c>
      <c r="G94" s="4">
        <v>1</v>
      </c>
    </row>
    <row r="95" spans="2:7" x14ac:dyDescent="0.15">
      <c r="B95" s="9" t="s">
        <v>103</v>
      </c>
      <c r="C95" s="4">
        <v>1.2</v>
      </c>
      <c r="F95" s="3" t="s">
        <v>1126</v>
      </c>
      <c r="G95" s="4">
        <v>1</v>
      </c>
    </row>
    <row r="96" spans="2:7" x14ac:dyDescent="0.15">
      <c r="B96" s="9" t="s">
        <v>104</v>
      </c>
      <c r="C96" s="4">
        <v>1.2</v>
      </c>
      <c r="F96" s="3" t="s">
        <v>1127</v>
      </c>
      <c r="G96" s="4">
        <v>1</v>
      </c>
    </row>
    <row r="97" spans="2:7" x14ac:dyDescent="0.15">
      <c r="B97" s="9" t="s">
        <v>105</v>
      </c>
      <c r="C97" s="4">
        <v>1.2</v>
      </c>
      <c r="F97" s="3" t="s">
        <v>1128</v>
      </c>
      <c r="G97" s="4">
        <v>1</v>
      </c>
    </row>
    <row r="98" spans="2:7" x14ac:dyDescent="0.15">
      <c r="B98" s="9" t="s">
        <v>106</v>
      </c>
      <c r="C98" s="4">
        <v>1.2</v>
      </c>
      <c r="F98" s="3" t="s">
        <v>1129</v>
      </c>
      <c r="G98" s="4">
        <v>1</v>
      </c>
    </row>
    <row r="99" spans="2:7" x14ac:dyDescent="0.15">
      <c r="B99" s="9" t="s">
        <v>107</v>
      </c>
      <c r="C99" s="4">
        <v>1.2</v>
      </c>
      <c r="F99" s="3" t="s">
        <v>1130</v>
      </c>
      <c r="G99" s="4">
        <v>1</v>
      </c>
    </row>
    <row r="100" spans="2:7" x14ac:dyDescent="0.15">
      <c r="B100" s="9" t="s">
        <v>108</v>
      </c>
      <c r="C100" s="4">
        <v>1.2</v>
      </c>
      <c r="F100" s="3" t="s">
        <v>1131</v>
      </c>
      <c r="G100" s="4">
        <v>1</v>
      </c>
    </row>
    <row r="101" spans="2:7" x14ac:dyDescent="0.15">
      <c r="B101" s="9" t="s">
        <v>109</v>
      </c>
      <c r="C101" s="4">
        <v>1.2</v>
      </c>
      <c r="F101" s="3" t="s">
        <v>1132</v>
      </c>
      <c r="G101" s="4">
        <v>1</v>
      </c>
    </row>
    <row r="102" spans="2:7" x14ac:dyDescent="0.15">
      <c r="B102" s="9" t="s">
        <v>110</v>
      </c>
      <c r="C102" s="4">
        <v>1.2</v>
      </c>
      <c r="F102" s="3" t="s">
        <v>1133</v>
      </c>
      <c r="G102" s="4">
        <v>1</v>
      </c>
    </row>
    <row r="103" spans="2:7" x14ac:dyDescent="0.15">
      <c r="B103" s="9" t="s">
        <v>111</v>
      </c>
      <c r="C103" s="4">
        <v>1.2</v>
      </c>
      <c r="F103" s="3" t="s">
        <v>1134</v>
      </c>
      <c r="G103" s="4">
        <v>1</v>
      </c>
    </row>
    <row r="104" spans="2:7" x14ac:dyDescent="0.15">
      <c r="B104" s="9" t="s">
        <v>112</v>
      </c>
      <c r="C104" s="4">
        <v>1.2</v>
      </c>
      <c r="F104" s="3" t="s">
        <v>1135</v>
      </c>
      <c r="G104" s="4">
        <v>1</v>
      </c>
    </row>
    <row r="105" spans="2:7" x14ac:dyDescent="0.15">
      <c r="B105" s="9" t="s">
        <v>113</v>
      </c>
      <c r="C105" s="4">
        <v>1.2</v>
      </c>
      <c r="F105" s="3" t="s">
        <v>1136</v>
      </c>
      <c r="G105" s="4">
        <v>1</v>
      </c>
    </row>
    <row r="106" spans="2:7" x14ac:dyDescent="0.15">
      <c r="B106" s="9" t="s">
        <v>114</v>
      </c>
      <c r="C106" s="4">
        <v>1.2</v>
      </c>
      <c r="F106" s="3" t="s">
        <v>1137</v>
      </c>
      <c r="G106" s="4">
        <v>1</v>
      </c>
    </row>
    <row r="107" spans="2:7" x14ac:dyDescent="0.15">
      <c r="B107" s="9" t="s">
        <v>115</v>
      </c>
      <c r="C107" s="4">
        <v>1.2</v>
      </c>
      <c r="F107" s="3" t="s">
        <v>1138</v>
      </c>
      <c r="G107" s="4">
        <v>1</v>
      </c>
    </row>
    <row r="108" spans="2:7" x14ac:dyDescent="0.15">
      <c r="B108" s="9" t="s">
        <v>116</v>
      </c>
      <c r="C108" s="4">
        <v>1.2</v>
      </c>
      <c r="F108" s="3" t="s">
        <v>1139</v>
      </c>
      <c r="G108" s="4">
        <v>1</v>
      </c>
    </row>
    <row r="109" spans="2:7" x14ac:dyDescent="0.15">
      <c r="B109" s="9" t="s">
        <v>117</v>
      </c>
      <c r="C109" s="4">
        <v>1.2</v>
      </c>
      <c r="F109" s="3" t="s">
        <v>1140</v>
      </c>
      <c r="G109" s="4">
        <v>1</v>
      </c>
    </row>
    <row r="110" spans="2:7" x14ac:dyDescent="0.15">
      <c r="B110" s="9" t="s">
        <v>118</v>
      </c>
      <c r="C110" s="4">
        <v>1.2</v>
      </c>
      <c r="F110" s="3" t="s">
        <v>1141</v>
      </c>
      <c r="G110" s="4">
        <v>1</v>
      </c>
    </row>
    <row r="111" spans="2:7" x14ac:dyDescent="0.15">
      <c r="B111" s="9" t="s">
        <v>119</v>
      </c>
      <c r="C111" s="4">
        <v>1.2</v>
      </c>
      <c r="F111" s="3" t="s">
        <v>1142</v>
      </c>
      <c r="G111" s="4">
        <v>1</v>
      </c>
    </row>
    <row r="112" spans="2:7" x14ac:dyDescent="0.15">
      <c r="B112" s="9" t="s">
        <v>120</v>
      </c>
      <c r="C112" s="4">
        <v>1.2</v>
      </c>
      <c r="F112" s="3" t="s">
        <v>1143</v>
      </c>
      <c r="G112" s="4">
        <v>1</v>
      </c>
    </row>
    <row r="113" spans="2:7" x14ac:dyDescent="0.15">
      <c r="B113" s="9" t="s">
        <v>121</v>
      </c>
      <c r="C113" s="4">
        <v>1.2</v>
      </c>
      <c r="F113" s="3" t="s">
        <v>1144</v>
      </c>
      <c r="G113" s="4">
        <v>1</v>
      </c>
    </row>
    <row r="114" spans="2:7" x14ac:dyDescent="0.15">
      <c r="B114" s="9" t="s">
        <v>122</v>
      </c>
      <c r="C114" s="4">
        <v>1.2</v>
      </c>
      <c r="F114" s="3" t="s">
        <v>1145</v>
      </c>
      <c r="G114" s="4">
        <v>1</v>
      </c>
    </row>
    <row r="115" spans="2:7" x14ac:dyDescent="0.15">
      <c r="B115" s="9" t="s">
        <v>123</v>
      </c>
      <c r="C115" s="4">
        <v>1.2</v>
      </c>
      <c r="F115" s="3" t="s">
        <v>1146</v>
      </c>
      <c r="G115" s="4">
        <v>1</v>
      </c>
    </row>
    <row r="116" spans="2:7" x14ac:dyDescent="0.15">
      <c r="B116" s="9" t="s">
        <v>124</v>
      </c>
      <c r="C116" s="4">
        <v>1.2</v>
      </c>
      <c r="F116" s="3" t="s">
        <v>1147</v>
      </c>
      <c r="G116" s="4">
        <v>1</v>
      </c>
    </row>
    <row r="117" spans="2:7" x14ac:dyDescent="0.15">
      <c r="B117" s="9" t="s">
        <v>125</v>
      </c>
      <c r="C117" s="4">
        <v>1.2</v>
      </c>
      <c r="F117" s="3" t="s">
        <v>1148</v>
      </c>
      <c r="G117" s="4">
        <v>1</v>
      </c>
    </row>
    <row r="118" spans="2:7" x14ac:dyDescent="0.15">
      <c r="B118" s="9" t="s">
        <v>126</v>
      </c>
      <c r="C118" s="4">
        <v>1.2</v>
      </c>
      <c r="F118" s="3" t="s">
        <v>1149</v>
      </c>
      <c r="G118" s="4">
        <v>1</v>
      </c>
    </row>
    <row r="119" spans="2:7" x14ac:dyDescent="0.15">
      <c r="B119" s="9" t="s">
        <v>127</v>
      </c>
      <c r="C119" s="4">
        <v>1.2</v>
      </c>
      <c r="F119" s="3" t="s">
        <v>1150</v>
      </c>
      <c r="G119" s="4">
        <v>1</v>
      </c>
    </row>
    <row r="120" spans="2:7" x14ac:dyDescent="0.15">
      <c r="B120" s="9" t="s">
        <v>128</v>
      </c>
      <c r="C120" s="4">
        <v>1.2</v>
      </c>
      <c r="F120" s="3" t="s">
        <v>1151</v>
      </c>
      <c r="G120" s="4">
        <v>1</v>
      </c>
    </row>
    <row r="121" spans="2:7" x14ac:dyDescent="0.15">
      <c r="B121" s="9" t="s">
        <v>129</v>
      </c>
      <c r="C121" s="4">
        <v>1.2</v>
      </c>
      <c r="F121" s="3" t="s">
        <v>1152</v>
      </c>
      <c r="G121" s="4">
        <v>1</v>
      </c>
    </row>
    <row r="122" spans="2:7" x14ac:dyDescent="0.15">
      <c r="B122" s="9" t="s">
        <v>130</v>
      </c>
      <c r="C122" s="4">
        <v>1.2</v>
      </c>
      <c r="F122" s="3" t="s">
        <v>1153</v>
      </c>
      <c r="G122" s="4">
        <v>1</v>
      </c>
    </row>
    <row r="123" spans="2:7" x14ac:dyDescent="0.15">
      <c r="B123" s="9" t="s">
        <v>131</v>
      </c>
      <c r="C123" s="4">
        <v>1.2</v>
      </c>
      <c r="F123" s="3" t="s">
        <v>1154</v>
      </c>
      <c r="G123" s="4">
        <v>1</v>
      </c>
    </row>
    <row r="124" spans="2:7" x14ac:dyDescent="0.15">
      <c r="B124" s="9" t="s">
        <v>132</v>
      </c>
      <c r="C124" s="4">
        <v>1.2</v>
      </c>
      <c r="F124" s="3" t="s">
        <v>1155</v>
      </c>
      <c r="G124" s="4">
        <v>1</v>
      </c>
    </row>
    <row r="125" spans="2:7" x14ac:dyDescent="0.15">
      <c r="B125" s="9" t="s">
        <v>133</v>
      </c>
      <c r="C125" s="4">
        <v>1.2</v>
      </c>
      <c r="F125" s="3" t="s">
        <v>1156</v>
      </c>
      <c r="G125" s="4">
        <v>1</v>
      </c>
    </row>
    <row r="126" spans="2:7" x14ac:dyDescent="0.15">
      <c r="B126" s="9" t="s">
        <v>134</v>
      </c>
      <c r="C126" s="4">
        <v>1.2</v>
      </c>
      <c r="F126" s="3" t="s">
        <v>1157</v>
      </c>
      <c r="G126" s="4">
        <v>1</v>
      </c>
    </row>
    <row r="127" spans="2:7" x14ac:dyDescent="0.15">
      <c r="B127" s="9" t="s">
        <v>135</v>
      </c>
      <c r="C127" s="4">
        <v>1.2</v>
      </c>
      <c r="F127" s="3" t="s">
        <v>1158</v>
      </c>
      <c r="G127" s="4">
        <v>1</v>
      </c>
    </row>
    <row r="128" spans="2:7" x14ac:dyDescent="0.15">
      <c r="B128" s="9" t="s">
        <v>136</v>
      </c>
      <c r="C128" s="4">
        <v>1.2</v>
      </c>
      <c r="F128" s="3" t="s">
        <v>1159</v>
      </c>
      <c r="G128" s="4">
        <v>1</v>
      </c>
    </row>
    <row r="129" spans="2:7" x14ac:dyDescent="0.15">
      <c r="B129" s="9" t="s">
        <v>137</v>
      </c>
      <c r="C129" s="4">
        <v>1.2</v>
      </c>
      <c r="F129" s="3" t="s">
        <v>1160</v>
      </c>
      <c r="G129" s="4">
        <v>1</v>
      </c>
    </row>
    <row r="130" spans="2:7" x14ac:dyDescent="0.15">
      <c r="B130" s="9" t="s">
        <v>138</v>
      </c>
      <c r="C130" s="4">
        <v>1.2</v>
      </c>
      <c r="F130" s="3" t="s">
        <v>1161</v>
      </c>
      <c r="G130" s="4">
        <v>1</v>
      </c>
    </row>
    <row r="131" spans="2:7" x14ac:dyDescent="0.15">
      <c r="B131" s="9" t="s">
        <v>139</v>
      </c>
      <c r="C131" s="4">
        <v>0.85</v>
      </c>
      <c r="F131" s="3" t="s">
        <v>1162</v>
      </c>
      <c r="G131" s="4">
        <v>1</v>
      </c>
    </row>
    <row r="132" spans="2:7" x14ac:dyDescent="0.15">
      <c r="B132" s="9" t="s">
        <v>140</v>
      </c>
      <c r="C132" s="4">
        <v>0.85</v>
      </c>
      <c r="F132" s="3" t="s">
        <v>1163</v>
      </c>
      <c r="G132" s="4">
        <v>1</v>
      </c>
    </row>
    <row r="133" spans="2:7" x14ac:dyDescent="0.15">
      <c r="B133" s="9" t="s">
        <v>141</v>
      </c>
      <c r="C133" s="4">
        <v>0.85</v>
      </c>
      <c r="F133" s="3" t="s">
        <v>1164</v>
      </c>
      <c r="G133" s="4">
        <v>1</v>
      </c>
    </row>
    <row r="134" spans="2:7" x14ac:dyDescent="0.15">
      <c r="B134" s="9" t="s">
        <v>142</v>
      </c>
      <c r="C134" s="4">
        <v>0.85</v>
      </c>
      <c r="F134" s="3" t="s">
        <v>1165</v>
      </c>
      <c r="G134" s="4">
        <v>1</v>
      </c>
    </row>
    <row r="135" spans="2:7" x14ac:dyDescent="0.15">
      <c r="B135" s="9" t="s">
        <v>143</v>
      </c>
      <c r="C135" s="4">
        <v>0.85</v>
      </c>
      <c r="F135" s="3" t="s">
        <v>1166</v>
      </c>
      <c r="G135" s="4">
        <v>1</v>
      </c>
    </row>
    <row r="136" spans="2:7" x14ac:dyDescent="0.15">
      <c r="B136" s="9" t="s">
        <v>144</v>
      </c>
      <c r="C136" s="4">
        <v>1</v>
      </c>
      <c r="F136" s="3" t="s">
        <v>1167</v>
      </c>
      <c r="G136" s="4">
        <v>1</v>
      </c>
    </row>
    <row r="137" spans="2:7" x14ac:dyDescent="0.15">
      <c r="B137" s="9" t="s">
        <v>145</v>
      </c>
      <c r="C137" s="4">
        <v>1</v>
      </c>
      <c r="F137" s="3" t="s">
        <v>1168</v>
      </c>
      <c r="G137" s="4">
        <v>1</v>
      </c>
    </row>
    <row r="138" spans="2:7" x14ac:dyDescent="0.15">
      <c r="B138" s="9" t="s">
        <v>146</v>
      </c>
      <c r="C138" s="4">
        <v>1</v>
      </c>
      <c r="F138" s="3" t="s">
        <v>1169</v>
      </c>
      <c r="G138" s="4">
        <v>1</v>
      </c>
    </row>
    <row r="139" spans="2:7" x14ac:dyDescent="0.15">
      <c r="B139" s="9" t="s">
        <v>147</v>
      </c>
      <c r="C139" s="4">
        <v>1</v>
      </c>
      <c r="F139" s="3" t="s">
        <v>1170</v>
      </c>
      <c r="G139" s="4">
        <v>1</v>
      </c>
    </row>
    <row r="140" spans="2:7" x14ac:dyDescent="0.15">
      <c r="B140" s="9" t="s">
        <v>148</v>
      </c>
      <c r="C140" s="4">
        <v>0.9</v>
      </c>
      <c r="F140" s="3" t="s">
        <v>1171</v>
      </c>
      <c r="G140" s="4">
        <v>1</v>
      </c>
    </row>
    <row r="141" spans="2:7" x14ac:dyDescent="0.15">
      <c r="B141" s="9" t="s">
        <v>149</v>
      </c>
      <c r="C141" s="4">
        <v>0.9</v>
      </c>
      <c r="F141" s="3" t="s">
        <v>1172</v>
      </c>
      <c r="G141" s="4">
        <v>1</v>
      </c>
    </row>
    <row r="142" spans="2:7" x14ac:dyDescent="0.15">
      <c r="B142" s="9" t="s">
        <v>150</v>
      </c>
      <c r="C142" s="4">
        <v>0.9</v>
      </c>
      <c r="F142" s="3" t="s">
        <v>1173</v>
      </c>
      <c r="G142" s="4">
        <v>1</v>
      </c>
    </row>
    <row r="143" spans="2:7" x14ac:dyDescent="0.15">
      <c r="B143" s="9" t="s">
        <v>151</v>
      </c>
      <c r="C143" s="4">
        <v>0.9</v>
      </c>
      <c r="F143" s="3" t="s">
        <v>1174</v>
      </c>
      <c r="G143" s="4">
        <v>1</v>
      </c>
    </row>
    <row r="144" spans="2:7" x14ac:dyDescent="0.15">
      <c r="B144" s="9" t="s">
        <v>152</v>
      </c>
      <c r="C144" s="4">
        <v>0.9</v>
      </c>
      <c r="F144" s="3" t="s">
        <v>1175</v>
      </c>
      <c r="G144" s="4">
        <v>1</v>
      </c>
    </row>
    <row r="145" spans="2:7" x14ac:dyDescent="0.15">
      <c r="B145" s="9" t="s">
        <v>153</v>
      </c>
      <c r="C145" s="4">
        <v>0.9</v>
      </c>
      <c r="F145" s="3" t="s">
        <v>1176</v>
      </c>
      <c r="G145" s="4">
        <v>1</v>
      </c>
    </row>
    <row r="146" spans="2:7" x14ac:dyDescent="0.15">
      <c r="B146" s="9" t="s">
        <v>154</v>
      </c>
      <c r="C146" s="4">
        <v>0.9</v>
      </c>
      <c r="F146" s="3" t="s">
        <v>1177</v>
      </c>
      <c r="G146" s="4">
        <v>1</v>
      </c>
    </row>
    <row r="147" spans="2:7" x14ac:dyDescent="0.15">
      <c r="B147" s="9" t="s">
        <v>155</v>
      </c>
      <c r="C147" s="4">
        <v>0.9</v>
      </c>
      <c r="F147" s="3" t="s">
        <v>1178</v>
      </c>
      <c r="G147" s="4">
        <v>1</v>
      </c>
    </row>
    <row r="148" spans="2:7" x14ac:dyDescent="0.15">
      <c r="B148" s="9" t="s">
        <v>156</v>
      </c>
      <c r="C148" s="4">
        <v>0.9</v>
      </c>
      <c r="F148" s="3" t="s">
        <v>1179</v>
      </c>
      <c r="G148" s="4">
        <v>1</v>
      </c>
    </row>
    <row r="149" spans="2:7" x14ac:dyDescent="0.15">
      <c r="B149" s="9" t="s">
        <v>157</v>
      </c>
      <c r="C149" s="4">
        <v>0.9</v>
      </c>
      <c r="F149" s="3" t="s">
        <v>1180</v>
      </c>
      <c r="G149" s="4">
        <v>1</v>
      </c>
    </row>
    <row r="150" spans="2:7" x14ac:dyDescent="0.15">
      <c r="B150" s="9" t="s">
        <v>158</v>
      </c>
      <c r="C150" s="4">
        <v>1.1000000000000001</v>
      </c>
      <c r="F150" s="3" t="s">
        <v>1181</v>
      </c>
      <c r="G150" s="4">
        <v>1</v>
      </c>
    </row>
    <row r="151" spans="2:7" x14ac:dyDescent="0.15">
      <c r="B151" s="9" t="s">
        <v>159</v>
      </c>
      <c r="C151" s="4">
        <v>1</v>
      </c>
      <c r="F151" s="3" t="s">
        <v>1182</v>
      </c>
      <c r="G151" s="4">
        <v>1</v>
      </c>
    </row>
    <row r="152" spans="2:7" x14ac:dyDescent="0.15">
      <c r="B152" s="9" t="s">
        <v>160</v>
      </c>
      <c r="C152" s="4">
        <v>1</v>
      </c>
      <c r="F152" s="3" t="s">
        <v>1183</v>
      </c>
      <c r="G152" s="4">
        <v>1</v>
      </c>
    </row>
    <row r="153" spans="2:7" x14ac:dyDescent="0.15">
      <c r="B153" s="9" t="s">
        <v>161</v>
      </c>
      <c r="C153" s="4">
        <v>1</v>
      </c>
      <c r="F153" s="3" t="s">
        <v>1184</v>
      </c>
      <c r="G153" s="4">
        <v>1</v>
      </c>
    </row>
    <row r="154" spans="2:7" x14ac:dyDescent="0.15">
      <c r="B154" s="9" t="s">
        <v>162</v>
      </c>
      <c r="C154" s="4">
        <v>1</v>
      </c>
      <c r="F154" s="3" t="s">
        <v>1185</v>
      </c>
      <c r="G154" s="4">
        <v>1</v>
      </c>
    </row>
    <row r="155" spans="2:7" x14ac:dyDescent="0.15">
      <c r="B155" s="9" t="s">
        <v>163</v>
      </c>
      <c r="C155" s="4">
        <v>1</v>
      </c>
      <c r="F155" s="3" t="s">
        <v>1186</v>
      </c>
      <c r="G155" s="4">
        <v>1</v>
      </c>
    </row>
    <row r="156" spans="2:7" x14ac:dyDescent="0.15">
      <c r="B156" s="9" t="s">
        <v>164</v>
      </c>
      <c r="C156" s="4">
        <v>1</v>
      </c>
      <c r="F156" s="3" t="s">
        <v>1187</v>
      </c>
      <c r="G156" s="4">
        <v>1</v>
      </c>
    </row>
    <row r="157" spans="2:7" x14ac:dyDescent="0.15">
      <c r="B157" s="9" t="s">
        <v>165</v>
      </c>
      <c r="C157" s="4">
        <v>0.95</v>
      </c>
      <c r="F157" s="3" t="s">
        <v>1188</v>
      </c>
      <c r="G157" s="4">
        <v>1</v>
      </c>
    </row>
    <row r="158" spans="2:7" x14ac:dyDescent="0.15">
      <c r="B158" s="9" t="s">
        <v>166</v>
      </c>
      <c r="C158" s="4">
        <v>0.95</v>
      </c>
      <c r="F158" s="3" t="s">
        <v>1189</v>
      </c>
      <c r="G158" s="4">
        <v>1</v>
      </c>
    </row>
    <row r="159" spans="2:7" x14ac:dyDescent="0.15">
      <c r="B159" s="9" t="s">
        <v>167</v>
      </c>
      <c r="C159" s="4">
        <v>0.95</v>
      </c>
      <c r="F159" s="3" t="s">
        <v>1190</v>
      </c>
      <c r="G159" s="4">
        <v>1</v>
      </c>
    </row>
    <row r="160" spans="2:7" x14ac:dyDescent="0.15">
      <c r="B160" s="9" t="s">
        <v>168</v>
      </c>
      <c r="C160" s="4">
        <v>0.95</v>
      </c>
      <c r="F160" s="3" t="s">
        <v>1191</v>
      </c>
      <c r="G160" s="4">
        <v>1</v>
      </c>
    </row>
    <row r="161" spans="2:7" x14ac:dyDescent="0.15">
      <c r="B161" s="9" t="s">
        <v>169</v>
      </c>
      <c r="C161" s="4">
        <v>0.95</v>
      </c>
      <c r="F161" s="3" t="s">
        <v>1192</v>
      </c>
      <c r="G161" s="4">
        <v>1</v>
      </c>
    </row>
    <row r="162" spans="2:7" x14ac:dyDescent="0.15">
      <c r="B162" s="9" t="s">
        <v>170</v>
      </c>
      <c r="C162" s="4">
        <v>0.95</v>
      </c>
      <c r="F162" s="3" t="s">
        <v>1193</v>
      </c>
      <c r="G162" s="4">
        <v>1</v>
      </c>
    </row>
    <row r="163" spans="2:7" x14ac:dyDescent="0.15">
      <c r="B163" s="9" t="s">
        <v>171</v>
      </c>
      <c r="C163" s="4">
        <v>0.95</v>
      </c>
      <c r="F163" s="3" t="s">
        <v>1194</v>
      </c>
      <c r="G163" s="4">
        <v>1</v>
      </c>
    </row>
    <row r="164" spans="2:7" x14ac:dyDescent="0.15">
      <c r="B164" s="9" t="s">
        <v>172</v>
      </c>
      <c r="C164" s="4">
        <v>0.95</v>
      </c>
      <c r="F164" s="3" t="s">
        <v>1195</v>
      </c>
      <c r="G164" s="4">
        <v>1</v>
      </c>
    </row>
    <row r="165" spans="2:7" x14ac:dyDescent="0.15">
      <c r="B165" s="9" t="s">
        <v>173</v>
      </c>
      <c r="C165" s="4">
        <v>0.95</v>
      </c>
      <c r="F165" s="3" t="s">
        <v>1196</v>
      </c>
      <c r="G165" s="4">
        <v>1</v>
      </c>
    </row>
    <row r="166" spans="2:7" x14ac:dyDescent="0.15">
      <c r="B166" s="9" t="s">
        <v>174</v>
      </c>
      <c r="C166" s="4">
        <v>0.95</v>
      </c>
      <c r="F166" s="3" t="s">
        <v>1197</v>
      </c>
      <c r="G166" s="4">
        <v>1</v>
      </c>
    </row>
    <row r="167" spans="2:7" x14ac:dyDescent="0.15">
      <c r="B167" s="9" t="s">
        <v>175</v>
      </c>
      <c r="C167" s="4">
        <v>0.95</v>
      </c>
      <c r="F167" s="3" t="s">
        <v>1198</v>
      </c>
      <c r="G167" s="4">
        <v>1</v>
      </c>
    </row>
    <row r="168" spans="2:7" x14ac:dyDescent="0.15">
      <c r="B168" s="9" t="s">
        <v>176</v>
      </c>
      <c r="C168" s="4">
        <v>0.95</v>
      </c>
      <c r="F168" s="3" t="s">
        <v>1199</v>
      </c>
      <c r="G168" s="4">
        <v>1</v>
      </c>
    </row>
    <row r="169" spans="2:7" x14ac:dyDescent="0.15">
      <c r="B169" s="9" t="s">
        <v>177</v>
      </c>
      <c r="C169" s="4">
        <v>0.95</v>
      </c>
      <c r="F169" s="3" t="s">
        <v>1200</v>
      </c>
      <c r="G169" s="4">
        <v>1</v>
      </c>
    </row>
    <row r="170" spans="2:7" x14ac:dyDescent="0.15">
      <c r="B170" s="9" t="s">
        <v>178</v>
      </c>
      <c r="C170" s="4">
        <v>0.95</v>
      </c>
      <c r="F170" s="3" t="s">
        <v>1201</v>
      </c>
      <c r="G170" s="4">
        <v>1</v>
      </c>
    </row>
    <row r="171" spans="2:7" x14ac:dyDescent="0.15">
      <c r="B171" s="9" t="s">
        <v>179</v>
      </c>
      <c r="C171" s="4">
        <v>0.95</v>
      </c>
      <c r="F171" s="3" t="s">
        <v>1202</v>
      </c>
      <c r="G171" s="4">
        <v>1</v>
      </c>
    </row>
    <row r="172" spans="2:7" x14ac:dyDescent="0.15">
      <c r="B172" s="9" t="s">
        <v>180</v>
      </c>
      <c r="C172" s="4">
        <v>0.95</v>
      </c>
      <c r="F172" s="3" t="s">
        <v>1203</v>
      </c>
      <c r="G172" s="4">
        <v>1</v>
      </c>
    </row>
    <row r="173" spans="2:7" x14ac:dyDescent="0.15">
      <c r="B173" s="9" t="s">
        <v>181</v>
      </c>
      <c r="C173" s="4">
        <v>0.95</v>
      </c>
      <c r="F173" s="3" t="s">
        <v>1204</v>
      </c>
      <c r="G173" s="4">
        <v>1</v>
      </c>
    </row>
    <row r="174" spans="2:7" x14ac:dyDescent="0.15">
      <c r="B174" s="9" t="s">
        <v>182</v>
      </c>
      <c r="C174" s="4">
        <v>0.95</v>
      </c>
      <c r="F174" s="3" t="s">
        <v>1205</v>
      </c>
      <c r="G174" s="4">
        <v>1</v>
      </c>
    </row>
    <row r="175" spans="2:7" x14ac:dyDescent="0.15">
      <c r="B175" s="9" t="s">
        <v>183</v>
      </c>
      <c r="C175" s="4">
        <v>0.95</v>
      </c>
      <c r="F175" s="3" t="s">
        <v>1206</v>
      </c>
      <c r="G175" s="4">
        <v>1</v>
      </c>
    </row>
    <row r="176" spans="2:7" x14ac:dyDescent="0.15">
      <c r="B176" s="9" t="s">
        <v>184</v>
      </c>
      <c r="C176" s="4">
        <v>0.95</v>
      </c>
      <c r="F176" s="3" t="s">
        <v>1207</v>
      </c>
      <c r="G176" s="4">
        <v>1</v>
      </c>
    </row>
    <row r="177" spans="2:7" x14ac:dyDescent="0.15">
      <c r="B177" s="9" t="s">
        <v>185</v>
      </c>
      <c r="C177" s="4">
        <v>0.95</v>
      </c>
      <c r="F177" s="3" t="s">
        <v>1208</v>
      </c>
      <c r="G177" s="4">
        <v>1</v>
      </c>
    </row>
    <row r="178" spans="2:7" x14ac:dyDescent="0.15">
      <c r="B178" s="9" t="s">
        <v>186</v>
      </c>
      <c r="C178" s="4">
        <v>0.95</v>
      </c>
      <c r="F178" s="3" t="s">
        <v>1209</v>
      </c>
      <c r="G178" s="4">
        <v>1</v>
      </c>
    </row>
    <row r="179" spans="2:7" x14ac:dyDescent="0.15">
      <c r="B179" s="9" t="s">
        <v>187</v>
      </c>
      <c r="C179" s="4">
        <v>0.95</v>
      </c>
      <c r="F179" s="3" t="s">
        <v>1210</v>
      </c>
      <c r="G179" s="4">
        <v>1</v>
      </c>
    </row>
    <row r="180" spans="2:7" x14ac:dyDescent="0.15">
      <c r="B180" s="9" t="s">
        <v>188</v>
      </c>
      <c r="C180" s="4">
        <v>0.95</v>
      </c>
      <c r="F180" s="3" t="s">
        <v>1211</v>
      </c>
      <c r="G180" s="4">
        <v>1</v>
      </c>
    </row>
    <row r="181" spans="2:7" x14ac:dyDescent="0.15">
      <c r="B181" s="9" t="s">
        <v>189</v>
      </c>
      <c r="C181" s="4">
        <v>0.95</v>
      </c>
      <c r="F181" s="3" t="s">
        <v>1212</v>
      </c>
      <c r="G181" s="4">
        <v>1</v>
      </c>
    </row>
    <row r="182" spans="2:7" x14ac:dyDescent="0.15">
      <c r="B182" s="9" t="s">
        <v>190</v>
      </c>
      <c r="C182" s="4">
        <v>0.95</v>
      </c>
      <c r="F182" s="3" t="s">
        <v>1213</v>
      </c>
      <c r="G182" s="4">
        <v>1</v>
      </c>
    </row>
    <row r="183" spans="2:7" x14ac:dyDescent="0.15">
      <c r="B183" s="9" t="s">
        <v>191</v>
      </c>
      <c r="C183" s="4">
        <v>0.95</v>
      </c>
      <c r="F183" s="3" t="s">
        <v>1214</v>
      </c>
      <c r="G183" s="4">
        <v>1</v>
      </c>
    </row>
    <row r="184" spans="2:7" x14ac:dyDescent="0.15">
      <c r="B184" s="9" t="s">
        <v>192</v>
      </c>
      <c r="C184" s="4">
        <v>0.95</v>
      </c>
      <c r="F184" s="3" t="s">
        <v>1215</v>
      </c>
      <c r="G184" s="4">
        <v>1</v>
      </c>
    </row>
    <row r="185" spans="2:7" x14ac:dyDescent="0.15">
      <c r="B185" s="9" t="s">
        <v>193</v>
      </c>
      <c r="C185" s="4">
        <v>0.95</v>
      </c>
      <c r="F185" s="3" t="s">
        <v>1216</v>
      </c>
      <c r="G185" s="4">
        <v>1</v>
      </c>
    </row>
    <row r="186" spans="2:7" x14ac:dyDescent="0.15">
      <c r="B186" s="9" t="s">
        <v>194</v>
      </c>
      <c r="C186" s="4">
        <v>0.95</v>
      </c>
      <c r="F186" s="3" t="s">
        <v>1217</v>
      </c>
      <c r="G186" s="4">
        <v>1</v>
      </c>
    </row>
    <row r="187" spans="2:7" x14ac:dyDescent="0.15">
      <c r="B187" s="9" t="s">
        <v>195</v>
      </c>
      <c r="C187" s="4">
        <v>0.95</v>
      </c>
      <c r="F187" s="3" t="s">
        <v>1218</v>
      </c>
      <c r="G187" s="4">
        <v>1</v>
      </c>
    </row>
    <row r="188" spans="2:7" x14ac:dyDescent="0.15">
      <c r="B188" s="9" t="s">
        <v>196</v>
      </c>
      <c r="C188" s="4">
        <v>0.95</v>
      </c>
      <c r="F188" s="3" t="s">
        <v>1219</v>
      </c>
      <c r="G188" s="4">
        <v>1</v>
      </c>
    </row>
    <row r="189" spans="2:7" x14ac:dyDescent="0.15">
      <c r="B189" s="9" t="s">
        <v>197</v>
      </c>
      <c r="C189" s="4">
        <v>0.95</v>
      </c>
      <c r="F189" s="3" t="s">
        <v>1220</v>
      </c>
      <c r="G189" s="4">
        <v>1</v>
      </c>
    </row>
    <row r="190" spans="2:7" x14ac:dyDescent="0.15">
      <c r="B190" s="9" t="s">
        <v>198</v>
      </c>
      <c r="C190" s="4">
        <v>0.95</v>
      </c>
      <c r="F190" s="3" t="s">
        <v>1221</v>
      </c>
      <c r="G190" s="4">
        <v>1</v>
      </c>
    </row>
    <row r="191" spans="2:7" x14ac:dyDescent="0.15">
      <c r="B191" s="9" t="s">
        <v>199</v>
      </c>
      <c r="C191" s="4">
        <v>0.95</v>
      </c>
      <c r="F191" s="3" t="s">
        <v>1222</v>
      </c>
      <c r="G191" s="4">
        <v>1</v>
      </c>
    </row>
    <row r="192" spans="2:7" x14ac:dyDescent="0.15">
      <c r="B192" s="9" t="s">
        <v>200</v>
      </c>
      <c r="C192" s="4">
        <v>0.95</v>
      </c>
      <c r="F192" s="3" t="s">
        <v>1223</v>
      </c>
      <c r="G192" s="4">
        <v>1</v>
      </c>
    </row>
    <row r="193" spans="2:7" x14ac:dyDescent="0.15">
      <c r="B193" s="9" t="s">
        <v>201</v>
      </c>
      <c r="C193" s="4">
        <v>0.95</v>
      </c>
      <c r="F193" s="3" t="s">
        <v>1224</v>
      </c>
      <c r="G193" s="4">
        <v>1</v>
      </c>
    </row>
    <row r="194" spans="2:7" x14ac:dyDescent="0.15">
      <c r="B194" s="9" t="s">
        <v>202</v>
      </c>
      <c r="C194" s="4">
        <v>0.95</v>
      </c>
      <c r="F194" s="3" t="s">
        <v>1225</v>
      </c>
      <c r="G194" s="4">
        <v>1</v>
      </c>
    </row>
    <row r="195" spans="2:7" x14ac:dyDescent="0.15">
      <c r="B195" s="9" t="s">
        <v>203</v>
      </c>
      <c r="C195" s="4">
        <v>0.95</v>
      </c>
      <c r="F195" s="3" t="s">
        <v>1226</v>
      </c>
      <c r="G195" s="4">
        <v>1</v>
      </c>
    </row>
    <row r="196" spans="2:7" x14ac:dyDescent="0.15">
      <c r="B196" s="9" t="s">
        <v>204</v>
      </c>
      <c r="C196" s="4">
        <v>0.95</v>
      </c>
      <c r="F196" s="3" t="s">
        <v>1227</v>
      </c>
      <c r="G196" s="4">
        <v>1</v>
      </c>
    </row>
    <row r="197" spans="2:7" x14ac:dyDescent="0.15">
      <c r="B197" s="9" t="s">
        <v>205</v>
      </c>
      <c r="C197" s="4">
        <v>0.95</v>
      </c>
      <c r="F197" s="3" t="s">
        <v>1228</v>
      </c>
      <c r="G197" s="4">
        <v>1</v>
      </c>
    </row>
    <row r="198" spans="2:7" x14ac:dyDescent="0.15">
      <c r="B198" s="9" t="s">
        <v>206</v>
      </c>
      <c r="C198" s="4">
        <v>0.95</v>
      </c>
      <c r="F198" s="3" t="s">
        <v>1229</v>
      </c>
      <c r="G198" s="4">
        <v>1</v>
      </c>
    </row>
    <row r="199" spans="2:7" x14ac:dyDescent="0.15">
      <c r="B199" s="9" t="s">
        <v>207</v>
      </c>
      <c r="C199" s="4">
        <v>0.95</v>
      </c>
      <c r="F199" s="3" t="s">
        <v>1230</v>
      </c>
      <c r="G199" s="4">
        <v>1</v>
      </c>
    </row>
    <row r="200" spans="2:7" x14ac:dyDescent="0.15">
      <c r="B200" s="9" t="s">
        <v>208</v>
      </c>
      <c r="C200" s="4">
        <v>0.95</v>
      </c>
      <c r="F200" s="3" t="s">
        <v>1231</v>
      </c>
      <c r="G200" s="4">
        <v>1</v>
      </c>
    </row>
    <row r="201" spans="2:7" x14ac:dyDescent="0.15">
      <c r="B201" s="9" t="s">
        <v>209</v>
      </c>
      <c r="C201" s="4">
        <v>0.95</v>
      </c>
      <c r="F201" s="3" t="s">
        <v>1232</v>
      </c>
      <c r="G201" s="4">
        <v>1</v>
      </c>
    </row>
    <row r="202" spans="2:7" x14ac:dyDescent="0.15">
      <c r="B202" s="9" t="s">
        <v>210</v>
      </c>
      <c r="C202" s="4">
        <v>0.95</v>
      </c>
      <c r="F202" s="3" t="s">
        <v>1233</v>
      </c>
      <c r="G202" s="4">
        <v>1</v>
      </c>
    </row>
    <row r="203" spans="2:7" x14ac:dyDescent="0.15">
      <c r="B203" s="9" t="s">
        <v>211</v>
      </c>
      <c r="C203" s="4">
        <v>0.95</v>
      </c>
      <c r="F203" s="3" t="s">
        <v>1234</v>
      </c>
      <c r="G203" s="4">
        <v>1</v>
      </c>
    </row>
    <row r="204" spans="2:7" x14ac:dyDescent="0.15">
      <c r="B204" s="9" t="s">
        <v>212</v>
      </c>
      <c r="C204" s="4">
        <v>0.95</v>
      </c>
      <c r="F204" s="3" t="s">
        <v>1235</v>
      </c>
      <c r="G204" s="4">
        <v>1</v>
      </c>
    </row>
    <row r="205" spans="2:7" x14ac:dyDescent="0.15">
      <c r="B205" s="9" t="s">
        <v>213</v>
      </c>
      <c r="C205" s="4">
        <v>0.95</v>
      </c>
      <c r="F205" s="3" t="s">
        <v>1236</v>
      </c>
      <c r="G205" s="4">
        <v>1</v>
      </c>
    </row>
    <row r="206" spans="2:7" x14ac:dyDescent="0.15">
      <c r="B206" s="9" t="s">
        <v>214</v>
      </c>
      <c r="C206" s="4">
        <v>1.25</v>
      </c>
      <c r="F206" s="3" t="s">
        <v>1237</v>
      </c>
      <c r="G206" s="4">
        <v>1</v>
      </c>
    </row>
    <row r="207" spans="2:7" x14ac:dyDescent="0.15">
      <c r="B207" s="9" t="s">
        <v>215</v>
      </c>
      <c r="C207" s="4">
        <v>1.25</v>
      </c>
      <c r="F207" s="3" t="s">
        <v>1238</v>
      </c>
      <c r="G207" s="4">
        <v>1</v>
      </c>
    </row>
    <row r="208" spans="2:7" x14ac:dyDescent="0.15">
      <c r="B208" s="9" t="s">
        <v>216</v>
      </c>
      <c r="C208" s="4">
        <v>1.25</v>
      </c>
      <c r="F208" s="3" t="s">
        <v>1239</v>
      </c>
      <c r="G208" s="4">
        <v>1</v>
      </c>
    </row>
    <row r="209" spans="2:7" x14ac:dyDescent="0.15">
      <c r="B209" s="9" t="s">
        <v>217</v>
      </c>
      <c r="C209" s="4">
        <v>1.25</v>
      </c>
      <c r="F209" s="3" t="s">
        <v>1240</v>
      </c>
      <c r="G209" s="4">
        <v>1</v>
      </c>
    </row>
    <row r="210" spans="2:7" x14ac:dyDescent="0.15">
      <c r="B210" s="9" t="s">
        <v>218</v>
      </c>
      <c r="C210" s="4">
        <v>1.05</v>
      </c>
      <c r="F210" s="3" t="s">
        <v>1241</v>
      </c>
      <c r="G210" s="4">
        <v>1</v>
      </c>
    </row>
    <row r="211" spans="2:7" x14ac:dyDescent="0.15">
      <c r="B211" s="9" t="s">
        <v>219</v>
      </c>
      <c r="C211" s="4">
        <v>1.05</v>
      </c>
      <c r="F211" s="3" t="s">
        <v>1242</v>
      </c>
      <c r="G211" s="4">
        <v>1</v>
      </c>
    </row>
    <row r="212" spans="2:7" x14ac:dyDescent="0.15">
      <c r="B212" s="9" t="s">
        <v>220</v>
      </c>
      <c r="C212" s="4">
        <v>1.05</v>
      </c>
      <c r="F212" s="3" t="s">
        <v>1243</v>
      </c>
      <c r="G212" s="4">
        <v>1</v>
      </c>
    </row>
    <row r="213" spans="2:7" x14ac:dyDescent="0.15">
      <c r="B213" s="9" t="s">
        <v>221</v>
      </c>
      <c r="C213" s="4">
        <v>1.05</v>
      </c>
      <c r="F213" s="3" t="s">
        <v>1244</v>
      </c>
      <c r="G213" s="4">
        <v>1</v>
      </c>
    </row>
    <row r="214" spans="2:7" x14ac:dyDescent="0.15">
      <c r="B214" s="9" t="s">
        <v>222</v>
      </c>
      <c r="C214" s="4">
        <v>1.05</v>
      </c>
      <c r="F214" s="3" t="s">
        <v>1245</v>
      </c>
      <c r="G214" s="4">
        <v>1</v>
      </c>
    </row>
    <row r="215" spans="2:7" x14ac:dyDescent="0.15">
      <c r="B215" s="9" t="s">
        <v>223</v>
      </c>
      <c r="C215" s="4">
        <v>1.05</v>
      </c>
      <c r="F215" s="3" t="s">
        <v>1246</v>
      </c>
      <c r="G215" s="4">
        <v>1</v>
      </c>
    </row>
    <row r="216" spans="2:7" x14ac:dyDescent="0.15">
      <c r="B216" s="9" t="s">
        <v>224</v>
      </c>
      <c r="C216" s="4">
        <v>1.05</v>
      </c>
      <c r="F216" s="3" t="s">
        <v>1247</v>
      </c>
      <c r="G216" s="4">
        <v>1</v>
      </c>
    </row>
    <row r="217" spans="2:7" x14ac:dyDescent="0.15">
      <c r="B217" s="9" t="s">
        <v>225</v>
      </c>
      <c r="C217" s="4">
        <v>1.05</v>
      </c>
      <c r="F217" s="3" t="s">
        <v>1248</v>
      </c>
      <c r="G217" s="4">
        <v>1</v>
      </c>
    </row>
    <row r="218" spans="2:7" x14ac:dyDescent="0.15">
      <c r="B218" s="9" t="s">
        <v>226</v>
      </c>
      <c r="C218" s="4">
        <v>1.05</v>
      </c>
      <c r="F218" s="3" t="s">
        <v>1249</v>
      </c>
      <c r="G218" s="4">
        <v>1</v>
      </c>
    </row>
    <row r="219" spans="2:7" x14ac:dyDescent="0.15">
      <c r="B219" s="9" t="s">
        <v>227</v>
      </c>
      <c r="C219" s="4">
        <v>1.05</v>
      </c>
      <c r="F219" s="3" t="s">
        <v>1250</v>
      </c>
      <c r="G219" s="4">
        <v>1</v>
      </c>
    </row>
    <row r="220" spans="2:7" x14ac:dyDescent="0.15">
      <c r="B220" s="9" t="s">
        <v>228</v>
      </c>
      <c r="C220" s="4">
        <v>1.05</v>
      </c>
      <c r="F220" s="3" t="s">
        <v>1251</v>
      </c>
      <c r="G220" s="4">
        <v>1</v>
      </c>
    </row>
    <row r="221" spans="2:7" x14ac:dyDescent="0.15">
      <c r="B221" s="9" t="s">
        <v>229</v>
      </c>
      <c r="C221" s="4">
        <v>1.05</v>
      </c>
      <c r="F221" s="3" t="s">
        <v>1252</v>
      </c>
      <c r="G221" s="4">
        <v>1</v>
      </c>
    </row>
    <row r="222" spans="2:7" x14ac:dyDescent="0.15">
      <c r="B222" s="9" t="s">
        <v>230</v>
      </c>
      <c r="C222" s="4">
        <v>1.05</v>
      </c>
      <c r="F222" s="3" t="s">
        <v>1253</v>
      </c>
      <c r="G222" s="4">
        <v>1</v>
      </c>
    </row>
    <row r="223" spans="2:7" x14ac:dyDescent="0.15">
      <c r="B223" s="9" t="s">
        <v>231</v>
      </c>
      <c r="C223" s="4">
        <v>1.05</v>
      </c>
      <c r="F223" s="3" t="s">
        <v>1254</v>
      </c>
      <c r="G223" s="4">
        <v>1</v>
      </c>
    </row>
    <row r="224" spans="2:7" x14ac:dyDescent="0.15">
      <c r="B224" s="9" t="s">
        <v>232</v>
      </c>
      <c r="C224" s="4">
        <v>1.05</v>
      </c>
      <c r="F224" s="3" t="s">
        <v>1255</v>
      </c>
      <c r="G224" s="4">
        <v>1</v>
      </c>
    </row>
    <row r="225" spans="2:7" x14ac:dyDescent="0.15">
      <c r="B225" s="9" t="s">
        <v>233</v>
      </c>
      <c r="C225" s="4">
        <v>1.05</v>
      </c>
      <c r="F225" s="3" t="s">
        <v>1256</v>
      </c>
      <c r="G225" s="4">
        <v>1</v>
      </c>
    </row>
    <row r="226" spans="2:7" x14ac:dyDescent="0.15">
      <c r="B226" s="9" t="s">
        <v>234</v>
      </c>
      <c r="C226" s="4">
        <v>1.05</v>
      </c>
      <c r="F226" s="3" t="s">
        <v>1257</v>
      </c>
      <c r="G226" s="4">
        <v>1</v>
      </c>
    </row>
    <row r="227" spans="2:7" x14ac:dyDescent="0.15">
      <c r="B227" s="9" t="s">
        <v>235</v>
      </c>
      <c r="C227" s="4">
        <v>1.05</v>
      </c>
      <c r="F227" s="3" t="s">
        <v>1258</v>
      </c>
      <c r="G227" s="4">
        <v>1</v>
      </c>
    </row>
    <row r="228" spans="2:7" x14ac:dyDescent="0.15">
      <c r="B228" s="9" t="s">
        <v>236</v>
      </c>
      <c r="C228" s="4">
        <v>1.05</v>
      </c>
      <c r="F228" s="3" t="s">
        <v>1259</v>
      </c>
      <c r="G228" s="4">
        <v>1</v>
      </c>
    </row>
    <row r="229" spans="2:7" x14ac:dyDescent="0.15">
      <c r="B229" s="9" t="s">
        <v>237</v>
      </c>
      <c r="C229" s="4">
        <v>1.05</v>
      </c>
      <c r="F229" s="3" t="s">
        <v>1260</v>
      </c>
      <c r="G229" s="4">
        <v>1</v>
      </c>
    </row>
    <row r="230" spans="2:7" x14ac:dyDescent="0.15">
      <c r="B230" s="9" t="s">
        <v>238</v>
      </c>
      <c r="C230" s="4">
        <v>1.05</v>
      </c>
      <c r="F230" s="3" t="s">
        <v>1261</v>
      </c>
      <c r="G230" s="4">
        <v>1</v>
      </c>
    </row>
    <row r="231" spans="2:7" x14ac:dyDescent="0.15">
      <c r="B231" s="9" t="s">
        <v>239</v>
      </c>
      <c r="C231" s="4">
        <v>1.05</v>
      </c>
      <c r="F231" s="3" t="s">
        <v>1262</v>
      </c>
      <c r="G231" s="4">
        <v>1</v>
      </c>
    </row>
    <row r="232" spans="2:7" x14ac:dyDescent="0.15">
      <c r="B232" s="9" t="s">
        <v>240</v>
      </c>
      <c r="C232" s="4">
        <v>1.05</v>
      </c>
      <c r="F232" s="3" t="s">
        <v>1263</v>
      </c>
      <c r="G232" s="4">
        <v>1</v>
      </c>
    </row>
    <row r="233" spans="2:7" x14ac:dyDescent="0.15">
      <c r="B233" s="9" t="s">
        <v>241</v>
      </c>
      <c r="C233" s="4">
        <v>1.05</v>
      </c>
      <c r="F233" s="3" t="s">
        <v>1264</v>
      </c>
      <c r="G233" s="4">
        <v>1</v>
      </c>
    </row>
    <row r="234" spans="2:7" x14ac:dyDescent="0.15">
      <c r="B234" s="9" t="s">
        <v>242</v>
      </c>
      <c r="C234" s="4">
        <v>1.05</v>
      </c>
      <c r="F234" s="3" t="s">
        <v>1265</v>
      </c>
      <c r="G234" s="4">
        <v>1</v>
      </c>
    </row>
    <row r="235" spans="2:7" x14ac:dyDescent="0.15">
      <c r="B235" s="9" t="s">
        <v>243</v>
      </c>
      <c r="C235" s="4">
        <v>1.05</v>
      </c>
      <c r="F235" s="3" t="s">
        <v>1266</v>
      </c>
      <c r="G235" s="4">
        <v>1</v>
      </c>
    </row>
    <row r="236" spans="2:7" x14ac:dyDescent="0.15">
      <c r="B236" s="9" t="s">
        <v>244</v>
      </c>
      <c r="C236" s="4">
        <v>1.05</v>
      </c>
      <c r="F236" s="3" t="s">
        <v>1267</v>
      </c>
      <c r="G236" s="4">
        <v>1</v>
      </c>
    </row>
    <row r="237" spans="2:7" x14ac:dyDescent="0.15">
      <c r="B237" s="9" t="s">
        <v>245</v>
      </c>
      <c r="C237" s="4">
        <v>1.05</v>
      </c>
      <c r="F237" s="3" t="s">
        <v>1268</v>
      </c>
      <c r="G237" s="4">
        <v>1</v>
      </c>
    </row>
    <row r="238" spans="2:7" x14ac:dyDescent="0.15">
      <c r="B238" s="9" t="s">
        <v>246</v>
      </c>
      <c r="C238" s="4">
        <v>1.05</v>
      </c>
      <c r="F238" s="3" t="s">
        <v>1269</v>
      </c>
      <c r="G238" s="4">
        <v>1</v>
      </c>
    </row>
    <row r="239" spans="2:7" x14ac:dyDescent="0.15">
      <c r="B239" s="9" t="s">
        <v>247</v>
      </c>
      <c r="C239" s="4">
        <v>1.05</v>
      </c>
      <c r="F239" s="3" t="s">
        <v>1270</v>
      </c>
      <c r="G239" s="4">
        <v>1</v>
      </c>
    </row>
    <row r="240" spans="2:7" x14ac:dyDescent="0.15">
      <c r="B240" s="9" t="s">
        <v>248</v>
      </c>
      <c r="C240" s="4">
        <v>1.05</v>
      </c>
      <c r="F240" s="3" t="s">
        <v>1271</v>
      </c>
      <c r="G240" s="4">
        <v>1</v>
      </c>
    </row>
    <row r="241" spans="2:7" x14ac:dyDescent="0.15">
      <c r="B241" s="9" t="s">
        <v>249</v>
      </c>
      <c r="C241" s="4">
        <v>1.05</v>
      </c>
      <c r="F241" s="3" t="s">
        <v>1272</v>
      </c>
      <c r="G241" s="4">
        <v>1</v>
      </c>
    </row>
    <row r="242" spans="2:7" x14ac:dyDescent="0.15">
      <c r="B242" s="9" t="s">
        <v>250</v>
      </c>
      <c r="C242" s="4">
        <v>1.05</v>
      </c>
      <c r="F242" s="3" t="s">
        <v>1273</v>
      </c>
      <c r="G242" s="4">
        <v>1</v>
      </c>
    </row>
    <row r="243" spans="2:7" x14ac:dyDescent="0.15">
      <c r="B243" s="9" t="s">
        <v>251</v>
      </c>
      <c r="C243" s="4">
        <v>1.05</v>
      </c>
      <c r="F243" s="3" t="s">
        <v>1274</v>
      </c>
      <c r="G243" s="4">
        <v>1</v>
      </c>
    </row>
    <row r="244" spans="2:7" x14ac:dyDescent="0.15">
      <c r="B244" s="9" t="s">
        <v>252</v>
      </c>
      <c r="C244" s="4">
        <v>1.05</v>
      </c>
      <c r="F244" s="3" t="s">
        <v>1275</v>
      </c>
      <c r="G244" s="4">
        <v>1</v>
      </c>
    </row>
    <row r="245" spans="2:7" x14ac:dyDescent="0.15">
      <c r="B245" s="9" t="s">
        <v>253</v>
      </c>
      <c r="C245" s="4">
        <v>1.05</v>
      </c>
      <c r="F245" s="3" t="s">
        <v>1276</v>
      </c>
      <c r="G245" s="4">
        <v>1</v>
      </c>
    </row>
    <row r="246" spans="2:7" x14ac:dyDescent="0.15">
      <c r="B246" s="9" t="s">
        <v>254</v>
      </c>
      <c r="C246" s="4">
        <v>1.05</v>
      </c>
      <c r="F246" s="3" t="s">
        <v>1277</v>
      </c>
      <c r="G246" s="4">
        <v>1</v>
      </c>
    </row>
    <row r="247" spans="2:7" x14ac:dyDescent="0.15">
      <c r="B247" s="9" t="s">
        <v>255</v>
      </c>
      <c r="C247" s="4">
        <v>1.05</v>
      </c>
      <c r="F247" s="3" t="s">
        <v>1278</v>
      </c>
      <c r="G247" s="4">
        <v>1</v>
      </c>
    </row>
    <row r="248" spans="2:7" x14ac:dyDescent="0.15">
      <c r="B248" s="9" t="s">
        <v>256</v>
      </c>
      <c r="C248" s="4">
        <v>1.05</v>
      </c>
      <c r="F248" s="3" t="s">
        <v>1279</v>
      </c>
      <c r="G248" s="4">
        <v>1</v>
      </c>
    </row>
    <row r="249" spans="2:7" x14ac:dyDescent="0.15">
      <c r="B249" s="9" t="s">
        <v>257</v>
      </c>
      <c r="C249" s="4">
        <v>1.05</v>
      </c>
      <c r="F249" s="3" t="s">
        <v>1280</v>
      </c>
      <c r="G249" s="4">
        <v>1</v>
      </c>
    </row>
    <row r="250" spans="2:7" x14ac:dyDescent="0.15">
      <c r="B250" s="9" t="s">
        <v>258</v>
      </c>
      <c r="C250" s="4">
        <v>1.05</v>
      </c>
      <c r="F250" s="3" t="s">
        <v>1281</v>
      </c>
      <c r="G250" s="4">
        <v>1</v>
      </c>
    </row>
    <row r="251" spans="2:7" x14ac:dyDescent="0.15">
      <c r="B251" s="9" t="s">
        <v>259</v>
      </c>
      <c r="C251" s="4">
        <v>1.05</v>
      </c>
      <c r="F251" s="3" t="s">
        <v>1282</v>
      </c>
      <c r="G251" s="4">
        <v>1</v>
      </c>
    </row>
    <row r="252" spans="2:7" x14ac:dyDescent="0.15">
      <c r="B252" s="9" t="s">
        <v>260</v>
      </c>
      <c r="C252" s="4">
        <v>1.05</v>
      </c>
      <c r="F252" s="3" t="s">
        <v>1283</v>
      </c>
      <c r="G252" s="4">
        <v>1</v>
      </c>
    </row>
    <row r="253" spans="2:7" x14ac:dyDescent="0.15">
      <c r="B253" s="9" t="s">
        <v>261</v>
      </c>
      <c r="C253" s="4">
        <v>1.05</v>
      </c>
      <c r="F253" s="3" t="s">
        <v>1284</v>
      </c>
      <c r="G253" s="4">
        <v>1</v>
      </c>
    </row>
    <row r="254" spans="2:7" x14ac:dyDescent="0.15">
      <c r="B254" s="9" t="s">
        <v>262</v>
      </c>
      <c r="C254" s="4">
        <v>1.05</v>
      </c>
      <c r="F254" s="3" t="s">
        <v>1285</v>
      </c>
      <c r="G254" s="4">
        <v>1</v>
      </c>
    </row>
    <row r="255" spans="2:7" x14ac:dyDescent="0.15">
      <c r="B255" s="9" t="s">
        <v>263</v>
      </c>
      <c r="C255" s="4">
        <v>1.05</v>
      </c>
      <c r="F255" s="3" t="s">
        <v>1286</v>
      </c>
      <c r="G255" s="4">
        <v>1</v>
      </c>
    </row>
    <row r="256" spans="2:7" x14ac:dyDescent="0.15">
      <c r="B256" s="9" t="s">
        <v>264</v>
      </c>
      <c r="C256" s="4">
        <v>1.05</v>
      </c>
      <c r="F256" s="3" t="s">
        <v>1287</v>
      </c>
      <c r="G256" s="4">
        <v>1</v>
      </c>
    </row>
    <row r="257" spans="2:7" x14ac:dyDescent="0.15">
      <c r="B257" s="9" t="s">
        <v>265</v>
      </c>
      <c r="C257" s="4">
        <v>1.05</v>
      </c>
      <c r="F257" s="3" t="s">
        <v>1288</v>
      </c>
      <c r="G257" s="4">
        <v>1</v>
      </c>
    </row>
    <row r="258" spans="2:7" x14ac:dyDescent="0.15">
      <c r="B258" s="9" t="s">
        <v>266</v>
      </c>
      <c r="C258" s="4">
        <v>1.05</v>
      </c>
      <c r="F258" s="3" t="s">
        <v>1289</v>
      </c>
      <c r="G258" s="4">
        <v>1</v>
      </c>
    </row>
    <row r="259" spans="2:7" x14ac:dyDescent="0.15">
      <c r="B259" s="9" t="s">
        <v>267</v>
      </c>
      <c r="C259" s="4">
        <v>1.05</v>
      </c>
      <c r="F259" s="3" t="s">
        <v>1290</v>
      </c>
      <c r="G259" s="4">
        <v>1</v>
      </c>
    </row>
    <row r="260" spans="2:7" x14ac:dyDescent="0.15">
      <c r="B260" s="9" t="s">
        <v>268</v>
      </c>
      <c r="C260" s="4">
        <v>1.05</v>
      </c>
      <c r="F260" s="3" t="s">
        <v>1291</v>
      </c>
      <c r="G260" s="4">
        <v>1</v>
      </c>
    </row>
    <row r="261" spans="2:7" x14ac:dyDescent="0.15">
      <c r="B261" s="9" t="s">
        <v>269</v>
      </c>
      <c r="C261" s="4">
        <v>1.05</v>
      </c>
      <c r="F261" s="3" t="s">
        <v>1292</v>
      </c>
      <c r="G261" s="4">
        <v>1</v>
      </c>
    </row>
    <row r="262" spans="2:7" x14ac:dyDescent="0.15">
      <c r="B262" s="9" t="s">
        <v>270</v>
      </c>
      <c r="C262" s="4">
        <v>1.05</v>
      </c>
      <c r="F262" s="3" t="s">
        <v>1293</v>
      </c>
      <c r="G262" s="4">
        <v>1</v>
      </c>
    </row>
    <row r="263" spans="2:7" x14ac:dyDescent="0.15">
      <c r="B263" s="9" t="s">
        <v>271</v>
      </c>
      <c r="C263" s="4">
        <v>1.05</v>
      </c>
      <c r="F263" s="3" t="s">
        <v>1294</v>
      </c>
      <c r="G263" s="4">
        <v>1</v>
      </c>
    </row>
    <row r="264" spans="2:7" x14ac:dyDescent="0.15">
      <c r="B264" s="9" t="s">
        <v>272</v>
      </c>
      <c r="C264" s="4">
        <v>1.2</v>
      </c>
      <c r="F264" s="3" t="s">
        <v>1295</v>
      </c>
      <c r="G264" s="4">
        <v>1</v>
      </c>
    </row>
    <row r="265" spans="2:7" x14ac:dyDescent="0.15">
      <c r="B265" s="9" t="s">
        <v>273</v>
      </c>
      <c r="C265" s="4">
        <v>1.2</v>
      </c>
      <c r="F265" s="3" t="s">
        <v>1296</v>
      </c>
      <c r="G265" s="4">
        <v>1</v>
      </c>
    </row>
    <row r="266" spans="2:7" x14ac:dyDescent="0.15">
      <c r="B266" s="9" t="s">
        <v>274</v>
      </c>
      <c r="C266" s="4">
        <v>1.2</v>
      </c>
      <c r="F266" s="3" t="s">
        <v>1297</v>
      </c>
      <c r="G266" s="4">
        <v>1</v>
      </c>
    </row>
    <row r="267" spans="2:7" x14ac:dyDescent="0.15">
      <c r="B267" s="9" t="s">
        <v>275</v>
      </c>
      <c r="C267" s="4">
        <v>1.2</v>
      </c>
      <c r="F267" s="3" t="s">
        <v>1298</v>
      </c>
      <c r="G267" s="4">
        <v>1</v>
      </c>
    </row>
    <row r="268" spans="2:7" x14ac:dyDescent="0.15">
      <c r="B268" s="9" t="s">
        <v>276</v>
      </c>
      <c r="C268" s="4">
        <v>1</v>
      </c>
      <c r="F268" s="3" t="s">
        <v>1299</v>
      </c>
      <c r="G268" s="4">
        <v>1</v>
      </c>
    </row>
    <row r="269" spans="2:7" x14ac:dyDescent="0.15">
      <c r="B269" s="9" t="s">
        <v>277</v>
      </c>
      <c r="C269" s="4">
        <v>1</v>
      </c>
      <c r="F269" s="3" t="s">
        <v>1300</v>
      </c>
      <c r="G269" s="4">
        <v>1</v>
      </c>
    </row>
    <row r="270" spans="2:7" x14ac:dyDescent="0.15">
      <c r="B270" s="9" t="s">
        <v>278</v>
      </c>
      <c r="C270" s="4">
        <v>1</v>
      </c>
      <c r="F270" s="3" t="s">
        <v>1301</v>
      </c>
      <c r="G270" s="4">
        <v>1</v>
      </c>
    </row>
    <row r="271" spans="2:7" x14ac:dyDescent="0.15">
      <c r="B271" s="9" t="s">
        <v>279</v>
      </c>
      <c r="C271" s="4">
        <v>1</v>
      </c>
      <c r="F271" s="3" t="s">
        <v>1302</v>
      </c>
      <c r="G271" s="4">
        <v>1</v>
      </c>
    </row>
    <row r="272" spans="2:7" x14ac:dyDescent="0.15">
      <c r="B272" s="9" t="s">
        <v>280</v>
      </c>
      <c r="C272" s="4">
        <v>1</v>
      </c>
      <c r="F272" s="3" t="s">
        <v>1303</v>
      </c>
      <c r="G272" s="4">
        <v>1</v>
      </c>
    </row>
    <row r="273" spans="2:7" x14ac:dyDescent="0.15">
      <c r="B273" s="9" t="s">
        <v>281</v>
      </c>
      <c r="C273" s="4">
        <v>1</v>
      </c>
      <c r="F273" s="3" t="s">
        <v>1304</v>
      </c>
      <c r="G273" s="4">
        <v>1</v>
      </c>
    </row>
    <row r="274" spans="2:7" x14ac:dyDescent="0.15">
      <c r="B274" s="9" t="s">
        <v>282</v>
      </c>
      <c r="C274" s="4">
        <v>1</v>
      </c>
      <c r="F274" s="3" t="s">
        <v>1305</v>
      </c>
      <c r="G274" s="4">
        <v>1</v>
      </c>
    </row>
    <row r="275" spans="2:7" x14ac:dyDescent="0.15">
      <c r="B275" s="9" t="s">
        <v>283</v>
      </c>
      <c r="C275" s="4">
        <v>1</v>
      </c>
      <c r="F275" s="3" t="s">
        <v>1306</v>
      </c>
      <c r="G275" s="4">
        <v>1</v>
      </c>
    </row>
    <row r="276" spans="2:7" x14ac:dyDescent="0.15">
      <c r="B276" s="9" t="s">
        <v>284</v>
      </c>
      <c r="C276" s="4">
        <v>1</v>
      </c>
      <c r="F276" s="3" t="s">
        <v>1307</v>
      </c>
      <c r="G276" s="4">
        <v>1</v>
      </c>
    </row>
    <row r="277" spans="2:7" x14ac:dyDescent="0.15">
      <c r="B277" s="9" t="s">
        <v>285</v>
      </c>
      <c r="C277" s="4">
        <v>1</v>
      </c>
      <c r="F277" s="3" t="s">
        <v>1308</v>
      </c>
      <c r="G277" s="4">
        <v>1</v>
      </c>
    </row>
    <row r="278" spans="2:7" x14ac:dyDescent="0.15">
      <c r="B278" s="9" t="s">
        <v>286</v>
      </c>
      <c r="C278" s="4">
        <v>1</v>
      </c>
      <c r="F278" s="3" t="s">
        <v>1309</v>
      </c>
      <c r="G278" s="4">
        <v>1</v>
      </c>
    </row>
    <row r="279" spans="2:7" x14ac:dyDescent="0.15">
      <c r="B279" s="9" t="s">
        <v>287</v>
      </c>
      <c r="C279" s="4">
        <v>1</v>
      </c>
      <c r="F279" s="3" t="s">
        <v>1310</v>
      </c>
      <c r="G279" s="4">
        <v>1</v>
      </c>
    </row>
    <row r="280" spans="2:7" x14ac:dyDescent="0.15">
      <c r="B280" s="9" t="s">
        <v>288</v>
      </c>
      <c r="C280" s="4">
        <v>1</v>
      </c>
      <c r="F280" s="3" t="s">
        <v>1311</v>
      </c>
      <c r="G280" s="4">
        <v>1</v>
      </c>
    </row>
    <row r="281" spans="2:7" x14ac:dyDescent="0.15">
      <c r="B281" s="9" t="s">
        <v>289</v>
      </c>
      <c r="C281" s="4">
        <v>0.85</v>
      </c>
      <c r="F281" s="3" t="s">
        <v>1312</v>
      </c>
      <c r="G281" s="4">
        <v>1</v>
      </c>
    </row>
    <row r="282" spans="2:7" x14ac:dyDescent="0.15">
      <c r="B282" s="9" t="s">
        <v>290</v>
      </c>
      <c r="C282" s="4">
        <v>0.85</v>
      </c>
      <c r="F282" s="3" t="s">
        <v>1313</v>
      </c>
      <c r="G282" s="4">
        <v>1</v>
      </c>
    </row>
    <row r="283" spans="2:7" x14ac:dyDescent="0.15">
      <c r="B283" s="9" t="s">
        <v>291</v>
      </c>
      <c r="C283" s="4">
        <v>0.85</v>
      </c>
      <c r="F283" s="3" t="s">
        <v>1314</v>
      </c>
      <c r="G283" s="4">
        <v>1</v>
      </c>
    </row>
    <row r="284" spans="2:7" x14ac:dyDescent="0.15">
      <c r="B284" s="9" t="s">
        <v>292</v>
      </c>
      <c r="C284" s="4">
        <v>0.85</v>
      </c>
      <c r="F284" s="3" t="s">
        <v>1315</v>
      </c>
      <c r="G284" s="4">
        <v>1</v>
      </c>
    </row>
    <row r="285" spans="2:7" x14ac:dyDescent="0.15">
      <c r="B285" s="9" t="s">
        <v>293</v>
      </c>
      <c r="C285" s="4">
        <v>0.85</v>
      </c>
      <c r="F285" s="3" t="s">
        <v>1316</v>
      </c>
      <c r="G285" s="4">
        <v>1</v>
      </c>
    </row>
    <row r="286" spans="2:7" x14ac:dyDescent="0.15">
      <c r="B286" s="9" t="s">
        <v>294</v>
      </c>
      <c r="C286" s="4">
        <v>0.85</v>
      </c>
      <c r="F286" s="3" t="s">
        <v>1317</v>
      </c>
      <c r="G286" s="4">
        <v>1</v>
      </c>
    </row>
    <row r="287" spans="2:7" x14ac:dyDescent="0.15">
      <c r="B287" s="9" t="s">
        <v>295</v>
      </c>
      <c r="C287" s="4">
        <v>0.85</v>
      </c>
      <c r="F287" s="3" t="s">
        <v>1318</v>
      </c>
      <c r="G287" s="4">
        <v>1</v>
      </c>
    </row>
    <row r="288" spans="2:7" x14ac:dyDescent="0.15">
      <c r="B288" s="9" t="s">
        <v>296</v>
      </c>
      <c r="C288" s="4">
        <v>0.85</v>
      </c>
      <c r="F288" s="3" t="s">
        <v>1319</v>
      </c>
      <c r="G288" s="4">
        <v>1</v>
      </c>
    </row>
    <row r="289" spans="2:7" x14ac:dyDescent="0.15">
      <c r="B289" s="9" t="s">
        <v>297</v>
      </c>
      <c r="C289" s="4">
        <v>0.85</v>
      </c>
      <c r="F289" s="3" t="s">
        <v>1320</v>
      </c>
      <c r="G289" s="4">
        <v>1</v>
      </c>
    </row>
    <row r="290" spans="2:7" x14ac:dyDescent="0.15">
      <c r="B290" s="9" t="s">
        <v>298</v>
      </c>
      <c r="C290" s="4">
        <v>0.85</v>
      </c>
      <c r="F290" s="3" t="s">
        <v>1321</v>
      </c>
      <c r="G290" s="4">
        <v>1</v>
      </c>
    </row>
    <row r="291" spans="2:7" x14ac:dyDescent="0.15">
      <c r="B291" s="9" t="s">
        <v>299</v>
      </c>
      <c r="C291" s="4">
        <v>0.85</v>
      </c>
      <c r="F291" s="3" t="s">
        <v>1322</v>
      </c>
      <c r="G291" s="4">
        <v>1</v>
      </c>
    </row>
    <row r="292" spans="2:7" x14ac:dyDescent="0.15">
      <c r="B292" s="9" t="s">
        <v>300</v>
      </c>
      <c r="C292" s="4">
        <v>0.85</v>
      </c>
      <c r="F292" s="3" t="s">
        <v>1323</v>
      </c>
      <c r="G292" s="4">
        <v>1</v>
      </c>
    </row>
    <row r="293" spans="2:7" x14ac:dyDescent="0.15">
      <c r="B293" s="9" t="s">
        <v>301</v>
      </c>
      <c r="C293" s="4">
        <v>0.85</v>
      </c>
      <c r="F293" s="3" t="s">
        <v>1324</v>
      </c>
      <c r="G293" s="4">
        <v>1</v>
      </c>
    </row>
    <row r="294" spans="2:7" x14ac:dyDescent="0.15">
      <c r="B294" s="9" t="s">
        <v>302</v>
      </c>
      <c r="C294" s="4">
        <v>1.3</v>
      </c>
      <c r="F294" s="3" t="s">
        <v>1325</v>
      </c>
      <c r="G294" s="4">
        <v>1</v>
      </c>
    </row>
    <row r="295" spans="2:7" x14ac:dyDescent="0.15">
      <c r="B295" s="9" t="s">
        <v>303</v>
      </c>
      <c r="C295" s="4">
        <v>1.3</v>
      </c>
      <c r="F295" s="3" t="s">
        <v>1326</v>
      </c>
      <c r="G295" s="4">
        <v>1</v>
      </c>
    </row>
    <row r="296" spans="2:7" x14ac:dyDescent="0.15">
      <c r="B296" s="9" t="s">
        <v>304</v>
      </c>
      <c r="C296" s="4">
        <v>1.3</v>
      </c>
      <c r="F296" s="3" t="s">
        <v>1327</v>
      </c>
      <c r="G296" s="4">
        <v>1</v>
      </c>
    </row>
    <row r="297" spans="2:7" x14ac:dyDescent="0.15">
      <c r="B297" s="9" t="s">
        <v>305</v>
      </c>
      <c r="C297" s="4">
        <v>1</v>
      </c>
      <c r="F297" s="3" t="s">
        <v>1328</v>
      </c>
      <c r="G297" s="4">
        <v>1</v>
      </c>
    </row>
    <row r="298" spans="2:7" x14ac:dyDescent="0.15">
      <c r="B298" s="9" t="s">
        <v>306</v>
      </c>
      <c r="C298" s="4">
        <v>1</v>
      </c>
      <c r="F298" s="3" t="s">
        <v>1329</v>
      </c>
      <c r="G298" s="4">
        <v>1</v>
      </c>
    </row>
    <row r="299" spans="2:7" x14ac:dyDescent="0.15">
      <c r="B299" s="9" t="s">
        <v>307</v>
      </c>
      <c r="C299" s="4">
        <v>1</v>
      </c>
      <c r="F299" s="3" t="s">
        <v>1330</v>
      </c>
      <c r="G299" s="4">
        <v>1</v>
      </c>
    </row>
    <row r="300" spans="2:7" x14ac:dyDescent="0.15">
      <c r="B300" s="9" t="s">
        <v>308</v>
      </c>
      <c r="C300" s="4">
        <v>1</v>
      </c>
      <c r="F300" s="3" t="s">
        <v>1331</v>
      </c>
      <c r="G300" s="4">
        <v>1</v>
      </c>
    </row>
    <row r="301" spans="2:7" x14ac:dyDescent="0.15">
      <c r="B301" s="9" t="s">
        <v>309</v>
      </c>
      <c r="C301" s="4">
        <v>1</v>
      </c>
      <c r="F301" s="3" t="s">
        <v>1332</v>
      </c>
      <c r="G301" s="4">
        <v>1</v>
      </c>
    </row>
    <row r="302" spans="2:7" x14ac:dyDescent="0.15">
      <c r="B302" s="9" t="s">
        <v>310</v>
      </c>
      <c r="C302" s="4">
        <v>1</v>
      </c>
      <c r="F302" s="3" t="s">
        <v>1333</v>
      </c>
      <c r="G302" s="4">
        <v>1</v>
      </c>
    </row>
    <row r="303" spans="2:7" x14ac:dyDescent="0.15">
      <c r="B303" s="9" t="s">
        <v>311</v>
      </c>
      <c r="C303" s="4">
        <v>1</v>
      </c>
      <c r="F303" s="3" t="s">
        <v>1334</v>
      </c>
      <c r="G303" s="4">
        <v>1</v>
      </c>
    </row>
    <row r="304" spans="2:7" x14ac:dyDescent="0.15">
      <c r="B304" s="9" t="s">
        <v>312</v>
      </c>
      <c r="C304" s="4">
        <v>1</v>
      </c>
      <c r="F304" s="3" t="s">
        <v>1335</v>
      </c>
      <c r="G304" s="4">
        <v>1</v>
      </c>
    </row>
    <row r="305" spans="2:7" x14ac:dyDescent="0.15">
      <c r="B305" s="9" t="s">
        <v>313</v>
      </c>
      <c r="C305" s="4">
        <v>1</v>
      </c>
      <c r="F305" s="3" t="s">
        <v>1336</v>
      </c>
      <c r="G305" s="4">
        <v>1</v>
      </c>
    </row>
    <row r="306" spans="2:7" x14ac:dyDescent="0.15">
      <c r="B306" s="9" t="s">
        <v>314</v>
      </c>
      <c r="C306" s="4">
        <v>1</v>
      </c>
      <c r="F306" s="3" t="s">
        <v>1337</v>
      </c>
      <c r="G306" s="4">
        <v>1</v>
      </c>
    </row>
    <row r="307" spans="2:7" x14ac:dyDescent="0.15">
      <c r="B307" s="9" t="s">
        <v>315</v>
      </c>
      <c r="C307" s="4">
        <v>1</v>
      </c>
      <c r="F307" s="3" t="s">
        <v>1338</v>
      </c>
      <c r="G307" s="4">
        <v>1</v>
      </c>
    </row>
    <row r="308" spans="2:7" x14ac:dyDescent="0.15">
      <c r="B308" s="9" t="s">
        <v>316</v>
      </c>
      <c r="C308" s="4">
        <v>1</v>
      </c>
      <c r="F308" s="3" t="s">
        <v>1339</v>
      </c>
      <c r="G308" s="4">
        <v>1</v>
      </c>
    </row>
    <row r="309" spans="2:7" x14ac:dyDescent="0.15">
      <c r="B309" s="9" t="s">
        <v>317</v>
      </c>
      <c r="C309" s="4">
        <v>1</v>
      </c>
      <c r="F309" s="3" t="s">
        <v>1340</v>
      </c>
      <c r="G309" s="4">
        <v>1</v>
      </c>
    </row>
    <row r="310" spans="2:7" x14ac:dyDescent="0.15">
      <c r="B310" s="9" t="s">
        <v>318</v>
      </c>
      <c r="C310" s="4">
        <v>1</v>
      </c>
      <c r="F310" s="3" t="s">
        <v>1341</v>
      </c>
      <c r="G310" s="4">
        <v>1</v>
      </c>
    </row>
    <row r="311" spans="2:7" x14ac:dyDescent="0.15">
      <c r="B311" s="9" t="s">
        <v>319</v>
      </c>
      <c r="C311" s="4">
        <v>0.95</v>
      </c>
      <c r="F311" s="3" t="s">
        <v>1342</v>
      </c>
      <c r="G311" s="4">
        <v>1</v>
      </c>
    </row>
    <row r="312" spans="2:7" x14ac:dyDescent="0.15">
      <c r="B312" s="9" t="s">
        <v>320</v>
      </c>
      <c r="C312" s="4">
        <v>0.95</v>
      </c>
      <c r="F312" s="3" t="s">
        <v>1343</v>
      </c>
      <c r="G312" s="4">
        <v>1</v>
      </c>
    </row>
    <row r="313" spans="2:7" x14ac:dyDescent="0.15">
      <c r="B313" s="9" t="s">
        <v>321</v>
      </c>
      <c r="C313" s="4">
        <v>0.95</v>
      </c>
      <c r="F313" s="3" t="s">
        <v>1344</v>
      </c>
      <c r="G313" s="4">
        <v>1</v>
      </c>
    </row>
    <row r="314" spans="2:7" x14ac:dyDescent="0.15">
      <c r="B314" s="9" t="s">
        <v>322</v>
      </c>
      <c r="C314" s="4">
        <v>0.95</v>
      </c>
      <c r="F314" s="3" t="s">
        <v>1345</v>
      </c>
      <c r="G314" s="4">
        <v>1</v>
      </c>
    </row>
    <row r="315" spans="2:7" x14ac:dyDescent="0.15">
      <c r="B315" s="9" t="s">
        <v>323</v>
      </c>
      <c r="C315" s="4">
        <v>0.95</v>
      </c>
      <c r="F315" s="3" t="s">
        <v>1346</v>
      </c>
      <c r="G315" s="4">
        <v>1</v>
      </c>
    </row>
    <row r="316" spans="2:7" x14ac:dyDescent="0.15">
      <c r="B316" s="9" t="s">
        <v>324</v>
      </c>
      <c r="C316" s="4">
        <v>0.95</v>
      </c>
      <c r="F316" s="3" t="s">
        <v>1347</v>
      </c>
      <c r="G316" s="4">
        <v>1</v>
      </c>
    </row>
    <row r="317" spans="2:7" x14ac:dyDescent="0.15">
      <c r="B317" s="9" t="s">
        <v>325</v>
      </c>
      <c r="C317" s="4">
        <v>0.95</v>
      </c>
      <c r="F317" s="3" t="s">
        <v>1348</v>
      </c>
      <c r="G317" s="4">
        <v>1</v>
      </c>
    </row>
    <row r="318" spans="2:7" x14ac:dyDescent="0.15">
      <c r="B318" s="9" t="s">
        <v>326</v>
      </c>
      <c r="C318" s="4">
        <v>0.95</v>
      </c>
      <c r="F318" s="3" t="s">
        <v>1349</v>
      </c>
      <c r="G318" s="4">
        <v>1</v>
      </c>
    </row>
    <row r="319" spans="2:7" x14ac:dyDescent="0.15">
      <c r="B319" s="9" t="s">
        <v>327</v>
      </c>
      <c r="C319" s="4">
        <v>0.95</v>
      </c>
      <c r="F319" s="3" t="s">
        <v>1350</v>
      </c>
      <c r="G319" s="4">
        <v>1</v>
      </c>
    </row>
    <row r="320" spans="2:7" x14ac:dyDescent="0.15">
      <c r="B320" s="9" t="s">
        <v>328</v>
      </c>
      <c r="C320" s="4">
        <v>0.95</v>
      </c>
      <c r="F320" s="3" t="s">
        <v>1351</v>
      </c>
      <c r="G320" s="4">
        <v>1</v>
      </c>
    </row>
    <row r="321" spans="2:7" x14ac:dyDescent="0.15">
      <c r="B321" s="9" t="s">
        <v>329</v>
      </c>
      <c r="C321" s="4">
        <v>0.95</v>
      </c>
      <c r="F321" s="3" t="s">
        <v>1352</v>
      </c>
      <c r="G321" s="4">
        <v>1</v>
      </c>
    </row>
    <row r="322" spans="2:7" x14ac:dyDescent="0.15">
      <c r="B322" s="9" t="s">
        <v>330</v>
      </c>
      <c r="C322" s="4">
        <v>0.95</v>
      </c>
      <c r="F322" s="3" t="s">
        <v>1353</v>
      </c>
      <c r="G322" s="4">
        <v>1</v>
      </c>
    </row>
    <row r="323" spans="2:7" x14ac:dyDescent="0.15">
      <c r="B323" s="9" t="s">
        <v>331</v>
      </c>
      <c r="C323" s="4">
        <v>0.95</v>
      </c>
      <c r="F323" s="3" t="s">
        <v>1354</v>
      </c>
      <c r="G323" s="4">
        <v>1</v>
      </c>
    </row>
    <row r="324" spans="2:7" x14ac:dyDescent="0.15">
      <c r="B324" s="9" t="s">
        <v>332</v>
      </c>
      <c r="C324" s="4">
        <v>0.95</v>
      </c>
      <c r="F324" s="3" t="s">
        <v>1355</v>
      </c>
      <c r="G324" s="4">
        <v>1</v>
      </c>
    </row>
    <row r="325" spans="2:7" x14ac:dyDescent="0.15">
      <c r="B325" s="9" t="s">
        <v>333</v>
      </c>
      <c r="C325" s="4">
        <v>0.95</v>
      </c>
      <c r="F325" s="3" t="s">
        <v>1356</v>
      </c>
      <c r="G325" s="4">
        <v>1</v>
      </c>
    </row>
    <row r="326" spans="2:7" x14ac:dyDescent="0.15">
      <c r="B326" s="9" t="s">
        <v>334</v>
      </c>
      <c r="C326" s="4">
        <v>0.95</v>
      </c>
      <c r="F326" s="3" t="s">
        <v>1357</v>
      </c>
      <c r="G326" s="4">
        <v>1</v>
      </c>
    </row>
    <row r="327" spans="2:7" x14ac:dyDescent="0.15">
      <c r="B327" s="9" t="s">
        <v>335</v>
      </c>
      <c r="C327" s="4">
        <v>0.95</v>
      </c>
      <c r="F327" s="3" t="s">
        <v>1358</v>
      </c>
      <c r="G327" s="4">
        <v>1</v>
      </c>
    </row>
    <row r="328" spans="2:7" x14ac:dyDescent="0.15">
      <c r="B328" s="9" t="s">
        <v>336</v>
      </c>
      <c r="C328" s="4">
        <v>0.95</v>
      </c>
      <c r="F328" s="3" t="s">
        <v>1359</v>
      </c>
      <c r="G328" s="4">
        <v>1</v>
      </c>
    </row>
    <row r="329" spans="2:7" x14ac:dyDescent="0.15">
      <c r="B329" s="9" t="s">
        <v>337</v>
      </c>
      <c r="C329" s="4">
        <v>0.95</v>
      </c>
      <c r="F329" s="3" t="s">
        <v>1360</v>
      </c>
      <c r="G329" s="4">
        <v>1</v>
      </c>
    </row>
    <row r="330" spans="2:7" x14ac:dyDescent="0.15">
      <c r="B330" s="9" t="s">
        <v>338</v>
      </c>
      <c r="C330" s="4">
        <v>0.95</v>
      </c>
      <c r="F330" s="3" t="s">
        <v>1361</v>
      </c>
      <c r="G330" s="4">
        <v>1</v>
      </c>
    </row>
    <row r="331" spans="2:7" x14ac:dyDescent="0.15">
      <c r="B331" s="9" t="s">
        <v>339</v>
      </c>
      <c r="C331" s="4">
        <v>0.95</v>
      </c>
      <c r="F331" s="3" t="s">
        <v>1362</v>
      </c>
      <c r="G331" s="4">
        <v>1</v>
      </c>
    </row>
    <row r="332" spans="2:7" x14ac:dyDescent="0.15">
      <c r="B332" s="9" t="s">
        <v>340</v>
      </c>
      <c r="C332" s="4">
        <v>0.95</v>
      </c>
      <c r="F332" s="3" t="s">
        <v>1363</v>
      </c>
      <c r="G332" s="4">
        <v>1</v>
      </c>
    </row>
    <row r="333" spans="2:7" x14ac:dyDescent="0.15">
      <c r="B333" s="9" t="s">
        <v>341</v>
      </c>
      <c r="C333" s="4">
        <v>0.95</v>
      </c>
      <c r="F333" s="3" t="s">
        <v>1364</v>
      </c>
      <c r="G333" s="4">
        <v>1</v>
      </c>
    </row>
    <row r="334" spans="2:7" x14ac:dyDescent="0.15">
      <c r="B334" s="9" t="s">
        <v>342</v>
      </c>
      <c r="C334" s="4">
        <v>0.95</v>
      </c>
      <c r="F334" s="3" t="s">
        <v>1365</v>
      </c>
      <c r="G334" s="4">
        <v>1</v>
      </c>
    </row>
    <row r="335" spans="2:7" x14ac:dyDescent="0.15">
      <c r="B335" s="9" t="s">
        <v>343</v>
      </c>
      <c r="C335" s="4">
        <v>0.95</v>
      </c>
      <c r="F335" s="3" t="s">
        <v>1366</v>
      </c>
      <c r="G335" s="4">
        <v>1</v>
      </c>
    </row>
    <row r="336" spans="2:7" x14ac:dyDescent="0.15">
      <c r="B336" s="9" t="s">
        <v>344</v>
      </c>
      <c r="C336" s="4">
        <v>0.95</v>
      </c>
      <c r="F336" s="3" t="s">
        <v>1367</v>
      </c>
      <c r="G336" s="4">
        <v>1</v>
      </c>
    </row>
    <row r="337" spans="2:7" x14ac:dyDescent="0.15">
      <c r="B337" s="9" t="s">
        <v>345</v>
      </c>
      <c r="C337" s="4">
        <v>0.95</v>
      </c>
      <c r="F337" s="3" t="s">
        <v>1368</v>
      </c>
      <c r="G337" s="4">
        <v>1</v>
      </c>
    </row>
    <row r="338" spans="2:7" x14ac:dyDescent="0.15">
      <c r="B338" s="9" t="s">
        <v>346</v>
      </c>
      <c r="C338" s="4">
        <v>0.95</v>
      </c>
      <c r="F338" s="3" t="s">
        <v>1369</v>
      </c>
      <c r="G338" s="4">
        <v>1</v>
      </c>
    </row>
    <row r="339" spans="2:7" x14ac:dyDescent="0.15">
      <c r="B339" s="9" t="s">
        <v>347</v>
      </c>
      <c r="C339" s="4">
        <v>0.95</v>
      </c>
      <c r="F339" s="3" t="s">
        <v>1370</v>
      </c>
      <c r="G339" s="4">
        <v>1</v>
      </c>
    </row>
    <row r="340" spans="2:7" x14ac:dyDescent="0.15">
      <c r="B340" s="9" t="s">
        <v>348</v>
      </c>
      <c r="C340" s="4">
        <v>0.95</v>
      </c>
      <c r="F340" s="3" t="s">
        <v>1371</v>
      </c>
      <c r="G340" s="4">
        <v>1</v>
      </c>
    </row>
    <row r="341" spans="2:7" x14ac:dyDescent="0.15">
      <c r="B341" s="9" t="s">
        <v>349</v>
      </c>
      <c r="C341" s="4">
        <v>0.95</v>
      </c>
      <c r="F341" s="3" t="s">
        <v>1372</v>
      </c>
      <c r="G341" s="4">
        <v>1</v>
      </c>
    </row>
    <row r="342" spans="2:7" x14ac:dyDescent="0.15">
      <c r="B342" s="9" t="s">
        <v>350</v>
      </c>
      <c r="C342" s="4">
        <v>0.95</v>
      </c>
      <c r="F342" s="3" t="s">
        <v>1373</v>
      </c>
      <c r="G342" s="4">
        <v>1</v>
      </c>
    </row>
    <row r="343" spans="2:7" x14ac:dyDescent="0.15">
      <c r="B343" s="9" t="s">
        <v>351</v>
      </c>
      <c r="C343" s="4">
        <v>0.95</v>
      </c>
      <c r="F343" s="3" t="s">
        <v>1374</v>
      </c>
      <c r="G343" s="4">
        <v>1</v>
      </c>
    </row>
    <row r="344" spans="2:7" x14ac:dyDescent="0.15">
      <c r="B344" s="9" t="s">
        <v>352</v>
      </c>
      <c r="C344" s="4">
        <v>0.95</v>
      </c>
      <c r="F344" s="3" t="s">
        <v>1375</v>
      </c>
      <c r="G344" s="4">
        <v>1</v>
      </c>
    </row>
    <row r="345" spans="2:7" x14ac:dyDescent="0.15">
      <c r="B345" s="9" t="s">
        <v>353</v>
      </c>
      <c r="C345" s="4">
        <v>0.95</v>
      </c>
      <c r="F345" s="3" t="s">
        <v>1376</v>
      </c>
      <c r="G345" s="4">
        <v>1</v>
      </c>
    </row>
    <row r="346" spans="2:7" x14ac:dyDescent="0.15">
      <c r="B346" s="9" t="s">
        <v>354</v>
      </c>
      <c r="C346" s="4">
        <v>0.95</v>
      </c>
      <c r="F346" s="3" t="s">
        <v>1377</v>
      </c>
      <c r="G346" s="4">
        <v>1</v>
      </c>
    </row>
    <row r="347" spans="2:7" x14ac:dyDescent="0.15">
      <c r="B347" s="9" t="s">
        <v>355</v>
      </c>
      <c r="C347" s="4">
        <v>0.95</v>
      </c>
      <c r="F347" s="3" t="s">
        <v>1378</v>
      </c>
      <c r="G347" s="4">
        <v>1</v>
      </c>
    </row>
    <row r="348" spans="2:7" x14ac:dyDescent="0.15">
      <c r="B348" s="9" t="s">
        <v>356</v>
      </c>
      <c r="C348" s="4">
        <v>0.95</v>
      </c>
      <c r="F348" s="3" t="s">
        <v>1379</v>
      </c>
      <c r="G348" s="4">
        <v>1</v>
      </c>
    </row>
    <row r="349" spans="2:7" x14ac:dyDescent="0.15">
      <c r="B349" s="9" t="s">
        <v>357</v>
      </c>
      <c r="C349" s="4">
        <v>0.95</v>
      </c>
      <c r="F349" s="3" t="s">
        <v>1380</v>
      </c>
      <c r="G349" s="4">
        <v>1</v>
      </c>
    </row>
    <row r="350" spans="2:7" x14ac:dyDescent="0.15">
      <c r="B350" s="9" t="s">
        <v>358</v>
      </c>
      <c r="C350" s="4">
        <v>0.95</v>
      </c>
      <c r="F350" s="3" t="s">
        <v>1381</v>
      </c>
      <c r="G350" s="4">
        <v>1</v>
      </c>
    </row>
    <row r="351" spans="2:7" x14ac:dyDescent="0.15">
      <c r="B351" s="9" t="s">
        <v>359</v>
      </c>
      <c r="C351" s="4">
        <v>0.95</v>
      </c>
      <c r="F351" s="3" t="s">
        <v>1382</v>
      </c>
      <c r="G351" s="4">
        <v>1</v>
      </c>
    </row>
    <row r="352" spans="2:7" x14ac:dyDescent="0.15">
      <c r="B352" s="9" t="s">
        <v>360</v>
      </c>
      <c r="C352" s="4">
        <v>0.95</v>
      </c>
      <c r="F352" s="3" t="s">
        <v>1383</v>
      </c>
      <c r="G352" s="4">
        <v>1</v>
      </c>
    </row>
    <row r="353" spans="2:7" x14ac:dyDescent="0.15">
      <c r="B353" s="9" t="s">
        <v>361</v>
      </c>
      <c r="C353" s="4">
        <v>0.95</v>
      </c>
      <c r="F353" s="3" t="s">
        <v>1384</v>
      </c>
      <c r="G353" s="4">
        <v>1</v>
      </c>
    </row>
    <row r="354" spans="2:7" x14ac:dyDescent="0.15">
      <c r="B354" s="9" t="s">
        <v>362</v>
      </c>
      <c r="C354" s="4">
        <v>1.05</v>
      </c>
      <c r="F354" s="3" t="s">
        <v>1385</v>
      </c>
      <c r="G354" s="4">
        <v>1</v>
      </c>
    </row>
    <row r="355" spans="2:7" x14ac:dyDescent="0.15">
      <c r="B355" s="9" t="s">
        <v>363</v>
      </c>
      <c r="C355" s="4">
        <v>1.05</v>
      </c>
      <c r="F355" s="3" t="s">
        <v>1386</v>
      </c>
      <c r="G355" s="4">
        <v>1</v>
      </c>
    </row>
    <row r="356" spans="2:7" x14ac:dyDescent="0.15">
      <c r="B356" s="9" t="s">
        <v>364</v>
      </c>
      <c r="C356" s="4">
        <v>1.05</v>
      </c>
      <c r="F356" s="3" t="s">
        <v>1387</v>
      </c>
      <c r="G356" s="4">
        <v>1</v>
      </c>
    </row>
    <row r="357" spans="2:7" x14ac:dyDescent="0.15">
      <c r="B357" s="9" t="s">
        <v>365</v>
      </c>
      <c r="C357" s="4">
        <v>1.05</v>
      </c>
      <c r="F357" s="3" t="s">
        <v>1388</v>
      </c>
      <c r="G357" s="4">
        <v>1</v>
      </c>
    </row>
    <row r="358" spans="2:7" x14ac:dyDescent="0.15">
      <c r="B358" s="9" t="s">
        <v>366</v>
      </c>
      <c r="C358" s="4">
        <v>1.05</v>
      </c>
      <c r="F358" s="3" t="s">
        <v>1389</v>
      </c>
      <c r="G358" s="4">
        <v>1</v>
      </c>
    </row>
    <row r="359" spans="2:7" x14ac:dyDescent="0.15">
      <c r="B359" s="9" t="s">
        <v>367</v>
      </c>
      <c r="C359" s="4">
        <v>0.95</v>
      </c>
      <c r="F359" s="3" t="s">
        <v>1390</v>
      </c>
      <c r="G359" s="4">
        <v>1</v>
      </c>
    </row>
    <row r="360" spans="2:7" x14ac:dyDescent="0.15">
      <c r="B360" s="9" t="s">
        <v>368</v>
      </c>
      <c r="C360" s="4">
        <v>0.95</v>
      </c>
      <c r="F360" s="3" t="s">
        <v>1391</v>
      </c>
      <c r="G360" s="4">
        <v>1</v>
      </c>
    </row>
    <row r="361" spans="2:7" x14ac:dyDescent="0.15">
      <c r="B361" s="9" t="s">
        <v>369</v>
      </c>
      <c r="C361" s="4">
        <v>0.95</v>
      </c>
      <c r="F361" s="3" t="s">
        <v>1392</v>
      </c>
      <c r="G361" s="4">
        <v>1</v>
      </c>
    </row>
    <row r="362" spans="2:7" x14ac:dyDescent="0.15">
      <c r="B362" s="9" t="s">
        <v>370</v>
      </c>
      <c r="C362" s="4">
        <v>0.95</v>
      </c>
      <c r="F362" s="3" t="s">
        <v>1393</v>
      </c>
      <c r="G362" s="4">
        <v>1</v>
      </c>
    </row>
    <row r="363" spans="2:7" x14ac:dyDescent="0.15">
      <c r="B363" s="9" t="s">
        <v>371</v>
      </c>
      <c r="C363" s="4">
        <v>0.95</v>
      </c>
      <c r="F363" s="3" t="s">
        <v>1394</v>
      </c>
      <c r="G363" s="4">
        <v>1</v>
      </c>
    </row>
    <row r="364" spans="2:7" x14ac:dyDescent="0.15">
      <c r="B364" s="9" t="s">
        <v>372</v>
      </c>
      <c r="C364" s="4">
        <v>0.95</v>
      </c>
      <c r="F364" s="3" t="s">
        <v>1395</v>
      </c>
      <c r="G364" s="4">
        <v>1</v>
      </c>
    </row>
    <row r="365" spans="2:7" x14ac:dyDescent="0.15">
      <c r="B365" s="9" t="s">
        <v>373</v>
      </c>
      <c r="C365" s="4">
        <v>0.95</v>
      </c>
      <c r="F365" s="3" t="s">
        <v>1396</v>
      </c>
      <c r="G365" s="4">
        <v>1</v>
      </c>
    </row>
    <row r="366" spans="2:7" x14ac:dyDescent="0.15">
      <c r="B366" s="9" t="s">
        <v>374</v>
      </c>
      <c r="C366" s="4">
        <v>0.95</v>
      </c>
      <c r="F366" s="3" t="s">
        <v>1397</v>
      </c>
      <c r="G366" s="4">
        <v>1</v>
      </c>
    </row>
    <row r="367" spans="2:7" x14ac:dyDescent="0.15">
      <c r="B367" s="9" t="s">
        <v>375</v>
      </c>
      <c r="C367" s="4">
        <v>0.95</v>
      </c>
      <c r="F367" s="3" t="s">
        <v>1398</v>
      </c>
      <c r="G367" s="4">
        <v>1</v>
      </c>
    </row>
    <row r="368" spans="2:7" x14ac:dyDescent="0.15">
      <c r="B368" s="9" t="s">
        <v>376</v>
      </c>
      <c r="C368" s="4">
        <v>0.95</v>
      </c>
      <c r="F368" s="3" t="s">
        <v>1399</v>
      </c>
      <c r="G368" s="4">
        <v>1</v>
      </c>
    </row>
    <row r="369" spans="2:7" x14ac:dyDescent="0.15">
      <c r="B369" s="9" t="s">
        <v>377</v>
      </c>
      <c r="C369" s="4">
        <v>0.95</v>
      </c>
      <c r="F369" s="3" t="s">
        <v>1400</v>
      </c>
      <c r="G369" s="4">
        <v>1</v>
      </c>
    </row>
    <row r="370" spans="2:7" x14ac:dyDescent="0.15">
      <c r="B370" s="9" t="s">
        <v>378</v>
      </c>
      <c r="C370" s="4">
        <v>0.95</v>
      </c>
      <c r="F370" s="3" t="s">
        <v>1401</v>
      </c>
      <c r="G370" s="4">
        <v>1</v>
      </c>
    </row>
    <row r="371" spans="2:7" x14ac:dyDescent="0.15">
      <c r="B371" s="9" t="s">
        <v>379</v>
      </c>
      <c r="C371" s="4">
        <v>0.95</v>
      </c>
      <c r="F371" s="3" t="s">
        <v>1402</v>
      </c>
      <c r="G371" s="4">
        <v>1</v>
      </c>
    </row>
    <row r="372" spans="2:7" x14ac:dyDescent="0.15">
      <c r="B372" s="9" t="s">
        <v>380</v>
      </c>
      <c r="C372" s="4">
        <v>0.95</v>
      </c>
      <c r="F372" s="3" t="s">
        <v>1403</v>
      </c>
      <c r="G372" s="4">
        <v>1</v>
      </c>
    </row>
    <row r="373" spans="2:7" x14ac:dyDescent="0.15">
      <c r="B373" s="9" t="s">
        <v>381</v>
      </c>
      <c r="C373" s="4">
        <v>0.95</v>
      </c>
      <c r="F373" s="3" t="s">
        <v>1404</v>
      </c>
      <c r="G373" s="4">
        <v>1</v>
      </c>
    </row>
    <row r="374" spans="2:7" x14ac:dyDescent="0.15">
      <c r="B374" s="9" t="s">
        <v>382</v>
      </c>
      <c r="C374" s="4">
        <v>1.08</v>
      </c>
      <c r="F374" s="3" t="s">
        <v>1405</v>
      </c>
      <c r="G374" s="4">
        <v>1</v>
      </c>
    </row>
    <row r="375" spans="2:7" x14ac:dyDescent="0.15">
      <c r="B375" s="9" t="s">
        <v>383</v>
      </c>
      <c r="C375" s="4">
        <v>1.08</v>
      </c>
      <c r="F375" s="3" t="s">
        <v>1406</v>
      </c>
      <c r="G375" s="4">
        <v>1</v>
      </c>
    </row>
    <row r="376" spans="2:7" x14ac:dyDescent="0.15">
      <c r="B376" s="9" t="s">
        <v>384</v>
      </c>
      <c r="C376" s="4">
        <v>1.08</v>
      </c>
      <c r="F376" s="3" t="s">
        <v>1407</v>
      </c>
      <c r="G376" s="4">
        <v>1</v>
      </c>
    </row>
    <row r="377" spans="2:7" x14ac:dyDescent="0.15">
      <c r="B377" s="9" t="s">
        <v>385</v>
      </c>
      <c r="C377" s="4">
        <v>1.08</v>
      </c>
      <c r="F377" s="3" t="s">
        <v>1408</v>
      </c>
      <c r="G377" s="4">
        <v>1</v>
      </c>
    </row>
    <row r="378" spans="2:7" x14ac:dyDescent="0.15">
      <c r="B378" s="9" t="s">
        <v>386</v>
      </c>
      <c r="C378" s="4">
        <v>1.08</v>
      </c>
      <c r="F378" s="3" t="s">
        <v>1409</v>
      </c>
      <c r="G378" s="4">
        <v>1</v>
      </c>
    </row>
    <row r="379" spans="2:7" x14ac:dyDescent="0.15">
      <c r="B379" s="9" t="s">
        <v>387</v>
      </c>
      <c r="C379" s="4">
        <v>1.08</v>
      </c>
      <c r="F379" s="3" t="s">
        <v>1410</v>
      </c>
      <c r="G379" s="4">
        <v>1</v>
      </c>
    </row>
    <row r="380" spans="2:7" x14ac:dyDescent="0.15">
      <c r="B380" s="9" t="s">
        <v>388</v>
      </c>
      <c r="C380" s="4">
        <v>1.08</v>
      </c>
      <c r="F380" s="3" t="s">
        <v>1411</v>
      </c>
      <c r="G380" s="4">
        <v>1</v>
      </c>
    </row>
    <row r="381" spans="2:7" x14ac:dyDescent="0.15">
      <c r="B381" s="9" t="s">
        <v>389</v>
      </c>
      <c r="C381" s="4">
        <v>1.08</v>
      </c>
      <c r="F381" s="3" t="s">
        <v>1412</v>
      </c>
      <c r="G381" s="4">
        <v>1</v>
      </c>
    </row>
    <row r="382" spans="2:7" x14ac:dyDescent="0.15">
      <c r="B382" s="9" t="s">
        <v>390</v>
      </c>
      <c r="C382" s="4">
        <v>1.08</v>
      </c>
      <c r="F382" s="3" t="s">
        <v>1413</v>
      </c>
      <c r="G382" s="4">
        <v>1</v>
      </c>
    </row>
    <row r="383" spans="2:7" x14ac:dyDescent="0.15">
      <c r="B383" s="9" t="s">
        <v>391</v>
      </c>
      <c r="C383" s="4">
        <v>1.08</v>
      </c>
      <c r="F383" s="3" t="s">
        <v>1414</v>
      </c>
      <c r="G383" s="4">
        <v>1</v>
      </c>
    </row>
    <row r="384" spans="2:7" x14ac:dyDescent="0.15">
      <c r="B384" s="9" t="s">
        <v>392</v>
      </c>
      <c r="C384" s="4">
        <v>1.08</v>
      </c>
      <c r="F384" s="3" t="s">
        <v>1415</v>
      </c>
      <c r="G384" s="4">
        <v>1</v>
      </c>
    </row>
    <row r="385" spans="2:7" x14ac:dyDescent="0.15">
      <c r="B385" s="9" t="s">
        <v>393</v>
      </c>
      <c r="C385" s="4">
        <v>1.25</v>
      </c>
      <c r="F385" s="3" t="s">
        <v>1416</v>
      </c>
      <c r="G385" s="4">
        <v>1</v>
      </c>
    </row>
    <row r="386" spans="2:7" x14ac:dyDescent="0.15">
      <c r="B386" s="9" t="s">
        <v>394</v>
      </c>
      <c r="C386" s="4">
        <v>1.25</v>
      </c>
      <c r="F386" s="3" t="s">
        <v>1417</v>
      </c>
      <c r="G386" s="4">
        <v>1</v>
      </c>
    </row>
    <row r="387" spans="2:7" x14ac:dyDescent="0.15">
      <c r="B387" s="9" t="s">
        <v>395</v>
      </c>
      <c r="C387" s="4">
        <v>1.25</v>
      </c>
      <c r="F387" s="3" t="s">
        <v>1418</v>
      </c>
      <c r="G387" s="4">
        <v>1</v>
      </c>
    </row>
    <row r="388" spans="2:7" x14ac:dyDescent="0.15">
      <c r="B388" s="9" t="s">
        <v>396</v>
      </c>
      <c r="C388" s="4">
        <v>1.25</v>
      </c>
      <c r="F388" s="3" t="s">
        <v>1419</v>
      </c>
      <c r="G388" s="4">
        <v>1</v>
      </c>
    </row>
    <row r="389" spans="2:7" x14ac:dyDescent="0.15">
      <c r="B389" s="9" t="s">
        <v>397</v>
      </c>
      <c r="C389" s="4">
        <v>1.25</v>
      </c>
      <c r="F389" s="3" t="s">
        <v>1420</v>
      </c>
      <c r="G389" s="4">
        <v>1</v>
      </c>
    </row>
    <row r="390" spans="2:7" x14ac:dyDescent="0.15">
      <c r="B390" s="9" t="s">
        <v>398</v>
      </c>
      <c r="C390" s="4">
        <v>1.25</v>
      </c>
      <c r="F390" s="3" t="s">
        <v>1421</v>
      </c>
      <c r="G390" s="4">
        <v>1</v>
      </c>
    </row>
    <row r="391" spans="2:7" x14ac:dyDescent="0.15">
      <c r="B391" s="9" t="s">
        <v>399</v>
      </c>
      <c r="C391" s="4">
        <v>1.25</v>
      </c>
      <c r="F391" s="3" t="s">
        <v>1422</v>
      </c>
      <c r="G391" s="4">
        <v>1</v>
      </c>
    </row>
    <row r="392" spans="2:7" x14ac:dyDescent="0.15">
      <c r="B392" s="9" t="s">
        <v>400</v>
      </c>
      <c r="C392" s="4">
        <v>1.25</v>
      </c>
      <c r="F392" s="3" t="s">
        <v>1423</v>
      </c>
      <c r="G392" s="4">
        <v>1</v>
      </c>
    </row>
    <row r="393" spans="2:7" x14ac:dyDescent="0.15">
      <c r="B393" s="9" t="s">
        <v>401</v>
      </c>
      <c r="C393" s="4">
        <v>1.25</v>
      </c>
      <c r="F393" s="3" t="s">
        <v>1424</v>
      </c>
      <c r="G393" s="4">
        <v>1</v>
      </c>
    </row>
    <row r="394" spans="2:7" x14ac:dyDescent="0.15">
      <c r="B394" s="9" t="s">
        <v>402</v>
      </c>
      <c r="C394" s="4">
        <v>1.25</v>
      </c>
      <c r="F394" s="3" t="s">
        <v>1425</v>
      </c>
      <c r="G394" s="4">
        <v>1</v>
      </c>
    </row>
    <row r="395" spans="2:7" x14ac:dyDescent="0.15">
      <c r="B395" s="9" t="s">
        <v>403</v>
      </c>
      <c r="C395" s="4">
        <v>1.25</v>
      </c>
      <c r="F395" s="3" t="s">
        <v>1426</v>
      </c>
      <c r="G395" s="4">
        <v>1</v>
      </c>
    </row>
    <row r="396" spans="2:7" x14ac:dyDescent="0.15">
      <c r="B396" s="9" t="s">
        <v>404</v>
      </c>
      <c r="C396" s="4">
        <v>1.25</v>
      </c>
      <c r="F396" s="3" t="s">
        <v>1427</v>
      </c>
      <c r="G396" s="4">
        <v>1</v>
      </c>
    </row>
    <row r="397" spans="2:7" x14ac:dyDescent="0.15">
      <c r="B397" s="9" t="s">
        <v>405</v>
      </c>
      <c r="C397" s="4">
        <v>1.25</v>
      </c>
      <c r="F397" s="3" t="s">
        <v>1428</v>
      </c>
      <c r="G397" s="4">
        <v>1</v>
      </c>
    </row>
    <row r="398" spans="2:7" x14ac:dyDescent="0.15">
      <c r="B398" s="9" t="s">
        <v>406</v>
      </c>
      <c r="C398" s="4">
        <v>1.25</v>
      </c>
      <c r="F398" s="3" t="s">
        <v>1429</v>
      </c>
      <c r="G398" s="4">
        <v>1</v>
      </c>
    </row>
    <row r="399" spans="2:7" x14ac:dyDescent="0.15">
      <c r="B399" s="9" t="s">
        <v>407</v>
      </c>
      <c r="C399" s="4">
        <v>1.25</v>
      </c>
      <c r="F399" s="3" t="s">
        <v>1430</v>
      </c>
      <c r="G399" s="4">
        <v>1</v>
      </c>
    </row>
    <row r="400" spans="2:7" x14ac:dyDescent="0.15">
      <c r="B400" s="9" t="s">
        <v>408</v>
      </c>
      <c r="C400" s="4">
        <v>1.25</v>
      </c>
      <c r="F400" s="3" t="s">
        <v>1431</v>
      </c>
      <c r="G400" s="4">
        <v>1</v>
      </c>
    </row>
    <row r="401" spans="2:7" x14ac:dyDescent="0.15">
      <c r="B401" s="9" t="s">
        <v>409</v>
      </c>
      <c r="C401" s="4">
        <v>1.25</v>
      </c>
      <c r="F401" s="3" t="s">
        <v>1432</v>
      </c>
      <c r="G401" s="4">
        <v>1</v>
      </c>
    </row>
    <row r="402" spans="2:7" x14ac:dyDescent="0.15">
      <c r="B402" s="9" t="s">
        <v>410</v>
      </c>
      <c r="C402" s="4">
        <v>1.25</v>
      </c>
      <c r="F402" s="3" t="s">
        <v>1433</v>
      </c>
      <c r="G402" s="4">
        <v>1</v>
      </c>
    </row>
    <row r="403" spans="2:7" x14ac:dyDescent="0.15">
      <c r="B403" s="9" t="s">
        <v>411</v>
      </c>
      <c r="C403" s="4">
        <v>1.25</v>
      </c>
      <c r="F403" s="3" t="s">
        <v>1434</v>
      </c>
      <c r="G403" s="4">
        <v>1</v>
      </c>
    </row>
    <row r="404" spans="2:7" x14ac:dyDescent="0.15">
      <c r="B404" s="9" t="s">
        <v>412</v>
      </c>
      <c r="C404" s="4">
        <v>1.25</v>
      </c>
      <c r="F404" s="3" t="s">
        <v>1435</v>
      </c>
      <c r="G404" s="4">
        <v>1</v>
      </c>
    </row>
    <row r="405" spans="2:7" x14ac:dyDescent="0.15">
      <c r="B405" s="9" t="s">
        <v>413</v>
      </c>
      <c r="C405" s="4">
        <v>1.25</v>
      </c>
      <c r="F405" s="3" t="s">
        <v>1436</v>
      </c>
      <c r="G405" s="4">
        <v>1</v>
      </c>
    </row>
    <row r="406" spans="2:7" x14ac:dyDescent="0.15">
      <c r="B406" s="9" t="s">
        <v>414</v>
      </c>
      <c r="C406" s="4">
        <v>1.25</v>
      </c>
      <c r="F406" s="3" t="s">
        <v>1437</v>
      </c>
      <c r="G406" s="4">
        <v>1</v>
      </c>
    </row>
    <row r="407" spans="2:7" x14ac:dyDescent="0.15">
      <c r="B407" s="9" t="s">
        <v>415</v>
      </c>
      <c r="C407" s="4">
        <v>1.25</v>
      </c>
      <c r="F407" s="3" t="s">
        <v>1438</v>
      </c>
      <c r="G407" s="4">
        <v>1</v>
      </c>
    </row>
    <row r="408" spans="2:7" x14ac:dyDescent="0.15">
      <c r="B408" s="9" t="s">
        <v>416</v>
      </c>
      <c r="C408" s="4">
        <v>1.25</v>
      </c>
      <c r="F408" s="3" t="s">
        <v>1439</v>
      </c>
      <c r="G408" s="4">
        <v>1</v>
      </c>
    </row>
    <row r="409" spans="2:7" x14ac:dyDescent="0.15">
      <c r="B409" s="9" t="s">
        <v>417</v>
      </c>
      <c r="C409" s="4">
        <v>1.25</v>
      </c>
      <c r="F409" s="3" t="s">
        <v>1440</v>
      </c>
      <c r="G409" s="4">
        <v>1</v>
      </c>
    </row>
    <row r="410" spans="2:7" x14ac:dyDescent="0.15">
      <c r="B410" s="9" t="s">
        <v>418</v>
      </c>
      <c r="C410" s="4">
        <v>1.25</v>
      </c>
      <c r="F410" s="3" t="s">
        <v>1441</v>
      </c>
      <c r="G410" s="4">
        <v>1</v>
      </c>
    </row>
    <row r="411" spans="2:7" x14ac:dyDescent="0.15">
      <c r="B411" s="9" t="s">
        <v>419</v>
      </c>
      <c r="C411" s="4">
        <v>1.2</v>
      </c>
      <c r="F411" s="3" t="s">
        <v>1442</v>
      </c>
      <c r="G411" s="4">
        <v>1</v>
      </c>
    </row>
    <row r="412" spans="2:7" x14ac:dyDescent="0.15">
      <c r="B412" s="9" t="s">
        <v>420</v>
      </c>
      <c r="C412" s="4">
        <v>1.2</v>
      </c>
      <c r="F412" s="3" t="s">
        <v>1443</v>
      </c>
      <c r="G412" s="4">
        <v>1</v>
      </c>
    </row>
    <row r="413" spans="2:7" x14ac:dyDescent="0.15">
      <c r="B413" s="9" t="s">
        <v>421</v>
      </c>
      <c r="C413" s="4">
        <v>1.2</v>
      </c>
      <c r="F413" s="3" t="s">
        <v>1444</v>
      </c>
      <c r="G413" s="4">
        <v>1</v>
      </c>
    </row>
    <row r="414" spans="2:7" x14ac:dyDescent="0.15">
      <c r="B414" s="9" t="s">
        <v>422</v>
      </c>
      <c r="C414" s="4">
        <v>1.2</v>
      </c>
      <c r="F414" s="3" t="s">
        <v>1445</v>
      </c>
      <c r="G414" s="4">
        <v>1</v>
      </c>
    </row>
    <row r="415" spans="2:7" x14ac:dyDescent="0.15">
      <c r="B415" s="9" t="s">
        <v>423</v>
      </c>
      <c r="C415" s="4">
        <v>1.2</v>
      </c>
      <c r="F415" s="3" t="s">
        <v>1446</v>
      </c>
      <c r="G415" s="4">
        <v>1</v>
      </c>
    </row>
    <row r="416" spans="2:7" x14ac:dyDescent="0.15">
      <c r="B416" s="9" t="s">
        <v>424</v>
      </c>
      <c r="C416" s="4">
        <v>1.3</v>
      </c>
      <c r="F416" s="3" t="s">
        <v>1447</v>
      </c>
      <c r="G416" s="4">
        <v>1</v>
      </c>
    </row>
    <row r="417" spans="2:7" x14ac:dyDescent="0.15">
      <c r="B417" s="9" t="s">
        <v>425</v>
      </c>
      <c r="C417" s="4">
        <v>1.3</v>
      </c>
      <c r="F417" s="3" t="s">
        <v>1448</v>
      </c>
      <c r="G417" s="4">
        <v>1</v>
      </c>
    </row>
    <row r="418" spans="2:7" x14ac:dyDescent="0.15">
      <c r="B418" s="9" t="s">
        <v>426</v>
      </c>
      <c r="C418" s="4">
        <v>1.3</v>
      </c>
      <c r="F418" s="3" t="s">
        <v>1449</v>
      </c>
      <c r="G418" s="4">
        <v>1</v>
      </c>
    </row>
    <row r="419" spans="2:7" x14ac:dyDescent="0.15">
      <c r="B419" s="9" t="s">
        <v>427</v>
      </c>
      <c r="C419" s="4">
        <v>1.3</v>
      </c>
      <c r="F419" s="3" t="s">
        <v>1450</v>
      </c>
      <c r="G419" s="4">
        <v>1</v>
      </c>
    </row>
    <row r="420" spans="2:7" x14ac:dyDescent="0.15">
      <c r="B420" s="9" t="s">
        <v>428</v>
      </c>
      <c r="C420" s="4">
        <v>1.2</v>
      </c>
      <c r="F420" s="3" t="s">
        <v>1451</v>
      </c>
      <c r="G420" s="4">
        <v>1</v>
      </c>
    </row>
    <row r="421" spans="2:7" x14ac:dyDescent="0.15">
      <c r="B421" s="9" t="s">
        <v>429</v>
      </c>
      <c r="C421" s="4">
        <v>1.2</v>
      </c>
      <c r="F421" s="3" t="s">
        <v>1452</v>
      </c>
      <c r="G421" s="4">
        <v>1</v>
      </c>
    </row>
    <row r="422" spans="2:7" x14ac:dyDescent="0.15">
      <c r="B422" s="9" t="s">
        <v>430</v>
      </c>
      <c r="C422" s="4">
        <v>1.2</v>
      </c>
      <c r="F422" s="3" t="s">
        <v>1453</v>
      </c>
      <c r="G422" s="4">
        <v>1</v>
      </c>
    </row>
    <row r="423" spans="2:7" x14ac:dyDescent="0.15">
      <c r="B423" s="9" t="s">
        <v>431</v>
      </c>
      <c r="C423" s="4">
        <v>1.2</v>
      </c>
      <c r="F423" s="3" t="s">
        <v>1454</v>
      </c>
      <c r="G423" s="4">
        <v>1</v>
      </c>
    </row>
    <row r="424" spans="2:7" x14ac:dyDescent="0.15">
      <c r="B424" s="9" t="s">
        <v>432</v>
      </c>
      <c r="C424" s="4">
        <v>1.2</v>
      </c>
      <c r="F424" s="3" t="s">
        <v>1455</v>
      </c>
      <c r="G424" s="4">
        <v>1</v>
      </c>
    </row>
    <row r="425" spans="2:7" x14ac:dyDescent="0.15">
      <c r="B425" s="9" t="s">
        <v>433</v>
      </c>
      <c r="C425" s="4">
        <v>1.2</v>
      </c>
      <c r="F425" s="3" t="s">
        <v>1456</v>
      </c>
      <c r="G425" s="4">
        <v>1</v>
      </c>
    </row>
    <row r="426" spans="2:7" x14ac:dyDescent="0.15">
      <c r="B426" s="9" t="s">
        <v>434</v>
      </c>
      <c r="C426" s="4">
        <v>1.2</v>
      </c>
      <c r="F426" s="3" t="s">
        <v>1457</v>
      </c>
      <c r="G426" s="4">
        <v>1</v>
      </c>
    </row>
    <row r="427" spans="2:7" x14ac:dyDescent="0.15">
      <c r="B427" s="9" t="s">
        <v>435</v>
      </c>
      <c r="C427" s="4">
        <v>1.2</v>
      </c>
      <c r="F427" s="3" t="s">
        <v>1458</v>
      </c>
      <c r="G427" s="4">
        <v>1</v>
      </c>
    </row>
    <row r="428" spans="2:7" x14ac:dyDescent="0.15">
      <c r="B428" s="9" t="s">
        <v>436</v>
      </c>
      <c r="C428" s="4">
        <v>1.2</v>
      </c>
      <c r="F428" s="3" t="s">
        <v>1459</v>
      </c>
      <c r="G428" s="4">
        <v>1</v>
      </c>
    </row>
    <row r="429" spans="2:7" x14ac:dyDescent="0.15">
      <c r="B429" s="9" t="s">
        <v>437</v>
      </c>
      <c r="C429" s="4">
        <v>1.2</v>
      </c>
      <c r="F429" s="3" t="s">
        <v>1460</v>
      </c>
      <c r="G429" s="4">
        <v>1</v>
      </c>
    </row>
    <row r="430" spans="2:7" x14ac:dyDescent="0.15">
      <c r="B430" s="9" t="s">
        <v>438</v>
      </c>
      <c r="C430" s="4">
        <v>1.2</v>
      </c>
      <c r="F430" s="3" t="s">
        <v>1461</v>
      </c>
      <c r="G430" s="4">
        <v>1</v>
      </c>
    </row>
    <row r="431" spans="2:7" x14ac:dyDescent="0.15">
      <c r="B431" s="9" t="s">
        <v>439</v>
      </c>
      <c r="C431" s="4">
        <v>1.2</v>
      </c>
      <c r="F431" s="3" t="s">
        <v>1462</v>
      </c>
      <c r="G431" s="4">
        <v>1</v>
      </c>
    </row>
    <row r="432" spans="2:7" x14ac:dyDescent="0.15">
      <c r="B432" s="9" t="s">
        <v>440</v>
      </c>
      <c r="C432" s="4">
        <v>1.2</v>
      </c>
      <c r="F432" s="3" t="s">
        <v>1463</v>
      </c>
      <c r="G432" s="4">
        <v>1</v>
      </c>
    </row>
    <row r="433" spans="2:7" x14ac:dyDescent="0.15">
      <c r="B433" s="9" t="s">
        <v>441</v>
      </c>
      <c r="C433" s="4">
        <v>1.2</v>
      </c>
      <c r="F433" s="3" t="s">
        <v>1464</v>
      </c>
      <c r="G433" s="4">
        <v>1</v>
      </c>
    </row>
    <row r="434" spans="2:7" x14ac:dyDescent="0.15">
      <c r="B434" s="9" t="s">
        <v>442</v>
      </c>
      <c r="C434" s="4">
        <v>1.2</v>
      </c>
      <c r="F434" s="3" t="s">
        <v>1465</v>
      </c>
      <c r="G434" s="4">
        <v>1</v>
      </c>
    </row>
    <row r="435" spans="2:7" x14ac:dyDescent="0.15">
      <c r="B435" s="9" t="s">
        <v>443</v>
      </c>
      <c r="C435" s="4">
        <v>1.2</v>
      </c>
      <c r="F435" s="3" t="s">
        <v>1466</v>
      </c>
      <c r="G435" s="4">
        <v>1</v>
      </c>
    </row>
    <row r="436" spans="2:7" x14ac:dyDescent="0.15">
      <c r="B436" s="9" t="s">
        <v>444</v>
      </c>
      <c r="C436" s="4">
        <v>1.2</v>
      </c>
      <c r="F436" s="3" t="s">
        <v>1467</v>
      </c>
      <c r="G436" s="4">
        <v>1</v>
      </c>
    </row>
    <row r="437" spans="2:7" x14ac:dyDescent="0.15">
      <c r="B437" s="9" t="s">
        <v>445</v>
      </c>
      <c r="C437" s="4">
        <v>0.95</v>
      </c>
      <c r="F437" s="3" t="s">
        <v>1468</v>
      </c>
      <c r="G437" s="4">
        <v>1</v>
      </c>
    </row>
    <row r="438" spans="2:7" x14ac:dyDescent="0.15">
      <c r="B438" s="9" t="s">
        <v>446</v>
      </c>
      <c r="C438" s="4">
        <v>0.95</v>
      </c>
      <c r="F438" s="3" t="s">
        <v>1469</v>
      </c>
      <c r="G438" s="4">
        <v>1</v>
      </c>
    </row>
    <row r="439" spans="2:7" x14ac:dyDescent="0.15">
      <c r="B439" s="9" t="s">
        <v>447</v>
      </c>
      <c r="C439" s="4">
        <v>0.95</v>
      </c>
      <c r="F439" s="3" t="s">
        <v>1470</v>
      </c>
      <c r="G439" s="4">
        <v>1</v>
      </c>
    </row>
    <row r="440" spans="2:7" x14ac:dyDescent="0.15">
      <c r="B440" s="9" t="s">
        <v>448</v>
      </c>
      <c r="C440" s="4">
        <v>0.95</v>
      </c>
      <c r="F440" s="3" t="s">
        <v>1471</v>
      </c>
      <c r="G440" s="4">
        <v>1</v>
      </c>
    </row>
    <row r="441" spans="2:7" x14ac:dyDescent="0.15">
      <c r="B441" s="9" t="s">
        <v>449</v>
      </c>
      <c r="C441" s="4">
        <v>0.95</v>
      </c>
      <c r="F441" s="3" t="s">
        <v>1472</v>
      </c>
      <c r="G441" s="4">
        <v>1</v>
      </c>
    </row>
    <row r="442" spans="2:7" x14ac:dyDescent="0.15">
      <c r="B442" s="9" t="s">
        <v>450</v>
      </c>
      <c r="C442" s="4">
        <v>0.95</v>
      </c>
      <c r="F442" s="3" t="s">
        <v>1473</v>
      </c>
      <c r="G442" s="4">
        <v>1</v>
      </c>
    </row>
    <row r="443" spans="2:7" x14ac:dyDescent="0.15">
      <c r="B443" s="9" t="s">
        <v>451</v>
      </c>
      <c r="C443" s="4">
        <v>0.95</v>
      </c>
      <c r="F443" s="3" t="s">
        <v>1474</v>
      </c>
      <c r="G443" s="4">
        <v>1</v>
      </c>
    </row>
    <row r="444" spans="2:7" x14ac:dyDescent="0.15">
      <c r="B444" s="9" t="s">
        <v>452</v>
      </c>
      <c r="C444" s="4">
        <v>0.95</v>
      </c>
      <c r="F444" s="3" t="s">
        <v>1475</v>
      </c>
      <c r="G444" s="4">
        <v>1</v>
      </c>
    </row>
    <row r="445" spans="2:7" x14ac:dyDescent="0.15">
      <c r="B445" s="9" t="s">
        <v>453</v>
      </c>
      <c r="C445" s="4">
        <v>0.95</v>
      </c>
      <c r="F445" s="3" t="s">
        <v>1476</v>
      </c>
      <c r="G445" s="4">
        <v>1</v>
      </c>
    </row>
    <row r="446" spans="2:7" x14ac:dyDescent="0.15">
      <c r="B446" s="9" t="s">
        <v>454</v>
      </c>
      <c r="C446" s="4">
        <v>0.95</v>
      </c>
      <c r="F446" s="3" t="s">
        <v>1477</v>
      </c>
      <c r="G446" s="4">
        <v>1</v>
      </c>
    </row>
    <row r="447" spans="2:7" x14ac:dyDescent="0.15">
      <c r="B447" s="9" t="s">
        <v>455</v>
      </c>
      <c r="C447" s="4">
        <v>0.95</v>
      </c>
      <c r="F447" s="3" t="s">
        <v>1478</v>
      </c>
      <c r="G447" s="4">
        <v>1</v>
      </c>
    </row>
    <row r="448" spans="2:7" x14ac:dyDescent="0.15">
      <c r="B448" s="9" t="s">
        <v>456</v>
      </c>
      <c r="C448" s="4">
        <v>0.95</v>
      </c>
      <c r="F448" s="3" t="s">
        <v>1479</v>
      </c>
      <c r="G448" s="4">
        <v>1</v>
      </c>
    </row>
    <row r="449" spans="2:7" x14ac:dyDescent="0.15">
      <c r="B449" s="9" t="s">
        <v>457</v>
      </c>
      <c r="C449" s="4">
        <v>0.95</v>
      </c>
      <c r="F449" s="3" t="s">
        <v>1480</v>
      </c>
      <c r="G449" s="4">
        <v>1</v>
      </c>
    </row>
    <row r="450" spans="2:7" x14ac:dyDescent="0.15">
      <c r="B450" s="9" t="s">
        <v>458</v>
      </c>
      <c r="C450" s="4">
        <v>0.95</v>
      </c>
      <c r="F450" s="3" t="s">
        <v>1481</v>
      </c>
      <c r="G450" s="4">
        <v>1</v>
      </c>
    </row>
    <row r="451" spans="2:7" x14ac:dyDescent="0.15">
      <c r="B451" s="9" t="s">
        <v>459</v>
      </c>
      <c r="C451" s="4">
        <v>0.95</v>
      </c>
      <c r="F451" s="3" t="s">
        <v>1482</v>
      </c>
      <c r="G451" s="4">
        <v>1</v>
      </c>
    </row>
    <row r="452" spans="2:7" x14ac:dyDescent="0.15">
      <c r="B452" s="9" t="s">
        <v>460</v>
      </c>
      <c r="C452" s="4">
        <v>0.95</v>
      </c>
      <c r="F452" s="3" t="s">
        <v>1483</v>
      </c>
      <c r="G452" s="4">
        <v>1</v>
      </c>
    </row>
    <row r="453" spans="2:7" x14ac:dyDescent="0.15">
      <c r="B453" s="9" t="s">
        <v>461</v>
      </c>
      <c r="C453" s="4">
        <v>0.95</v>
      </c>
      <c r="F453" s="3" t="s">
        <v>1484</v>
      </c>
      <c r="G453" s="4">
        <v>1</v>
      </c>
    </row>
    <row r="454" spans="2:7" x14ac:dyDescent="0.15">
      <c r="B454" s="9" t="s">
        <v>462</v>
      </c>
      <c r="C454" s="4">
        <v>0.95</v>
      </c>
      <c r="F454" s="3" t="s">
        <v>1485</v>
      </c>
      <c r="G454" s="4">
        <v>1</v>
      </c>
    </row>
    <row r="455" spans="2:7" x14ac:dyDescent="0.15">
      <c r="B455" s="9" t="s">
        <v>463</v>
      </c>
      <c r="C455" s="4">
        <v>0.95</v>
      </c>
      <c r="F455" s="3" t="s">
        <v>1486</v>
      </c>
      <c r="G455" s="4">
        <v>1</v>
      </c>
    </row>
    <row r="456" spans="2:7" x14ac:dyDescent="0.15">
      <c r="B456" s="9" t="s">
        <v>464</v>
      </c>
      <c r="C456" s="4">
        <v>0.95</v>
      </c>
      <c r="F456" s="3" t="s">
        <v>1487</v>
      </c>
      <c r="G456" s="4">
        <v>1</v>
      </c>
    </row>
    <row r="457" spans="2:7" x14ac:dyDescent="0.15">
      <c r="B457" s="9" t="s">
        <v>465</v>
      </c>
      <c r="C457" s="4">
        <v>0.95</v>
      </c>
      <c r="F457" s="3" t="s">
        <v>1488</v>
      </c>
      <c r="G457" s="4">
        <v>1</v>
      </c>
    </row>
    <row r="458" spans="2:7" x14ac:dyDescent="0.15">
      <c r="B458" s="9" t="s">
        <v>466</v>
      </c>
      <c r="C458" s="4">
        <v>0.95</v>
      </c>
      <c r="F458" s="3" t="s">
        <v>1489</v>
      </c>
      <c r="G458" s="4">
        <v>1</v>
      </c>
    </row>
    <row r="459" spans="2:7" x14ac:dyDescent="0.15">
      <c r="B459" s="9" t="s">
        <v>467</v>
      </c>
      <c r="C459" s="4">
        <v>0.95</v>
      </c>
      <c r="F459" s="3" t="s">
        <v>1490</v>
      </c>
      <c r="G459" s="4">
        <v>1</v>
      </c>
    </row>
    <row r="460" spans="2:7" x14ac:dyDescent="0.15">
      <c r="B460" s="9" t="s">
        <v>468</v>
      </c>
      <c r="C460" s="4">
        <v>0.95</v>
      </c>
      <c r="F460" s="3" t="s">
        <v>1491</v>
      </c>
      <c r="G460" s="4">
        <v>1</v>
      </c>
    </row>
    <row r="461" spans="2:7" x14ac:dyDescent="0.15">
      <c r="B461" s="9" t="s">
        <v>469</v>
      </c>
      <c r="C461" s="4">
        <v>0.95</v>
      </c>
      <c r="F461" s="3" t="s">
        <v>1492</v>
      </c>
      <c r="G461" s="4">
        <v>1</v>
      </c>
    </row>
    <row r="462" spans="2:7" x14ac:dyDescent="0.15">
      <c r="B462" s="9" t="s">
        <v>470</v>
      </c>
      <c r="C462" s="4">
        <v>0.95</v>
      </c>
      <c r="F462" s="3" t="s">
        <v>1493</v>
      </c>
      <c r="G462" s="4">
        <v>1</v>
      </c>
    </row>
    <row r="463" spans="2:7" x14ac:dyDescent="0.15">
      <c r="B463" s="9" t="s">
        <v>471</v>
      </c>
      <c r="C463" s="4">
        <v>0.95</v>
      </c>
      <c r="F463" s="3" t="s">
        <v>1494</v>
      </c>
      <c r="G463" s="4">
        <v>1</v>
      </c>
    </row>
    <row r="464" spans="2:7" x14ac:dyDescent="0.15">
      <c r="B464" s="9" t="s">
        <v>472</v>
      </c>
      <c r="C464" s="4">
        <v>0.95</v>
      </c>
      <c r="F464" s="3" t="s">
        <v>1495</v>
      </c>
      <c r="G464" s="4">
        <v>1</v>
      </c>
    </row>
    <row r="465" spans="2:7" x14ac:dyDescent="0.15">
      <c r="B465" s="9" t="s">
        <v>473</v>
      </c>
      <c r="C465" s="4">
        <v>0.95</v>
      </c>
      <c r="F465" s="3" t="s">
        <v>1496</v>
      </c>
      <c r="G465" s="4">
        <v>1</v>
      </c>
    </row>
    <row r="466" spans="2:7" x14ac:dyDescent="0.15">
      <c r="B466" s="9" t="s">
        <v>474</v>
      </c>
      <c r="C466" s="4">
        <v>0.95</v>
      </c>
      <c r="F466" s="3" t="s">
        <v>1497</v>
      </c>
      <c r="G466" s="4">
        <v>1</v>
      </c>
    </row>
    <row r="467" spans="2:7" x14ac:dyDescent="0.15">
      <c r="B467" s="9" t="s">
        <v>475</v>
      </c>
      <c r="C467" s="4">
        <v>0.95</v>
      </c>
      <c r="F467" s="3" t="s">
        <v>1498</v>
      </c>
      <c r="G467" s="4">
        <v>1</v>
      </c>
    </row>
    <row r="468" spans="2:7" x14ac:dyDescent="0.15">
      <c r="B468" s="9" t="s">
        <v>476</v>
      </c>
      <c r="C468" s="4">
        <v>0.95</v>
      </c>
      <c r="F468" s="3" t="s">
        <v>1499</v>
      </c>
      <c r="G468" s="4">
        <v>1</v>
      </c>
    </row>
    <row r="469" spans="2:7" x14ac:dyDescent="0.15">
      <c r="B469" s="9" t="s">
        <v>477</v>
      </c>
      <c r="C469" s="4">
        <v>0.95</v>
      </c>
      <c r="F469" s="3" t="s">
        <v>1500</v>
      </c>
      <c r="G469" s="4">
        <v>1</v>
      </c>
    </row>
    <row r="470" spans="2:7" x14ac:dyDescent="0.15">
      <c r="B470" s="9" t="s">
        <v>478</v>
      </c>
      <c r="C470" s="4">
        <v>0.95</v>
      </c>
      <c r="F470" s="3" t="s">
        <v>1501</v>
      </c>
      <c r="G470" s="4">
        <v>1</v>
      </c>
    </row>
    <row r="471" spans="2:7" x14ac:dyDescent="0.15">
      <c r="B471" s="9" t="s">
        <v>479</v>
      </c>
      <c r="C471" s="4">
        <v>0.95</v>
      </c>
      <c r="F471" s="3" t="s">
        <v>1502</v>
      </c>
      <c r="G471" s="4">
        <v>1</v>
      </c>
    </row>
    <row r="472" spans="2:7" x14ac:dyDescent="0.15">
      <c r="B472" s="9" t="s">
        <v>480</v>
      </c>
      <c r="C472" s="4">
        <v>0.95</v>
      </c>
      <c r="F472" s="3" t="s">
        <v>1503</v>
      </c>
      <c r="G472" s="4">
        <v>1</v>
      </c>
    </row>
    <row r="473" spans="2:7" x14ac:dyDescent="0.15">
      <c r="B473" s="9" t="s">
        <v>481</v>
      </c>
      <c r="C473" s="4">
        <v>0.95</v>
      </c>
      <c r="F473" s="3" t="s">
        <v>1504</v>
      </c>
      <c r="G473" s="4">
        <v>1</v>
      </c>
    </row>
    <row r="474" spans="2:7" x14ac:dyDescent="0.15">
      <c r="B474" s="9" t="s">
        <v>482</v>
      </c>
      <c r="C474" s="4">
        <v>0.95</v>
      </c>
      <c r="F474" s="3" t="s">
        <v>1505</v>
      </c>
      <c r="G474" s="4">
        <v>1</v>
      </c>
    </row>
    <row r="475" spans="2:7" x14ac:dyDescent="0.15">
      <c r="B475" s="9" t="s">
        <v>483</v>
      </c>
      <c r="C475" s="4">
        <v>0.92</v>
      </c>
      <c r="F475" s="3" t="s">
        <v>1506</v>
      </c>
      <c r="G475" s="4">
        <v>1</v>
      </c>
    </row>
    <row r="476" spans="2:7" x14ac:dyDescent="0.15">
      <c r="B476" s="9" t="s">
        <v>484</v>
      </c>
      <c r="C476" s="4">
        <v>0.92</v>
      </c>
      <c r="F476" s="3" t="s">
        <v>1507</v>
      </c>
      <c r="G476" s="4">
        <v>1</v>
      </c>
    </row>
    <row r="477" spans="2:7" x14ac:dyDescent="0.15">
      <c r="B477" s="9" t="s">
        <v>485</v>
      </c>
      <c r="C477" s="4">
        <v>0.92</v>
      </c>
      <c r="F477" s="3" t="s">
        <v>1508</v>
      </c>
      <c r="G477" s="4">
        <v>1</v>
      </c>
    </row>
    <row r="478" spans="2:7" x14ac:dyDescent="0.15">
      <c r="B478" s="9" t="s">
        <v>486</v>
      </c>
      <c r="C478" s="4">
        <v>0.92</v>
      </c>
      <c r="F478" s="3" t="s">
        <v>1509</v>
      </c>
      <c r="G478" s="4">
        <v>1</v>
      </c>
    </row>
    <row r="479" spans="2:7" x14ac:dyDescent="0.15">
      <c r="B479" s="9" t="s">
        <v>487</v>
      </c>
      <c r="C479" s="4">
        <v>1</v>
      </c>
      <c r="F479" s="3" t="s">
        <v>1510</v>
      </c>
      <c r="G479" s="4">
        <v>1</v>
      </c>
    </row>
    <row r="480" spans="2:7" x14ac:dyDescent="0.15">
      <c r="B480" s="9" t="s">
        <v>488</v>
      </c>
      <c r="C480" s="4">
        <v>1</v>
      </c>
      <c r="F480" s="3" t="s">
        <v>1511</v>
      </c>
      <c r="G480" s="4">
        <v>1</v>
      </c>
    </row>
    <row r="481" spans="2:7" x14ac:dyDescent="0.15">
      <c r="B481" s="9" t="s">
        <v>489</v>
      </c>
      <c r="C481" s="4">
        <v>1</v>
      </c>
      <c r="F481" s="3" t="s">
        <v>1512</v>
      </c>
      <c r="G481" s="4">
        <v>1</v>
      </c>
    </row>
    <row r="482" spans="2:7" x14ac:dyDescent="0.15">
      <c r="B482" s="9" t="s">
        <v>490</v>
      </c>
      <c r="C482" s="4">
        <v>1</v>
      </c>
      <c r="F482" s="3" t="s">
        <v>1513</v>
      </c>
      <c r="G482" s="4">
        <v>1</v>
      </c>
    </row>
    <row r="483" spans="2:7" x14ac:dyDescent="0.15">
      <c r="B483" s="9" t="s">
        <v>491</v>
      </c>
      <c r="C483" s="4">
        <v>1</v>
      </c>
      <c r="F483" s="3" t="s">
        <v>1514</v>
      </c>
      <c r="G483" s="4">
        <v>1</v>
      </c>
    </row>
    <row r="484" spans="2:7" x14ac:dyDescent="0.15">
      <c r="B484" s="9" t="s">
        <v>492</v>
      </c>
      <c r="C484" s="4">
        <v>1</v>
      </c>
      <c r="F484" s="3" t="s">
        <v>1515</v>
      </c>
      <c r="G484" s="4">
        <v>1</v>
      </c>
    </row>
    <row r="485" spans="2:7" x14ac:dyDescent="0.15">
      <c r="B485" s="9" t="s">
        <v>493</v>
      </c>
      <c r="C485" s="4">
        <v>1</v>
      </c>
      <c r="F485" s="3" t="s">
        <v>1516</v>
      </c>
      <c r="G485" s="4">
        <v>1</v>
      </c>
    </row>
    <row r="486" spans="2:7" x14ac:dyDescent="0.15">
      <c r="B486" s="9" t="s">
        <v>494</v>
      </c>
      <c r="C486" s="4">
        <v>0.92</v>
      </c>
      <c r="F486" s="3" t="s">
        <v>1517</v>
      </c>
      <c r="G486" s="4">
        <v>1</v>
      </c>
    </row>
    <row r="487" spans="2:7" x14ac:dyDescent="0.15">
      <c r="B487" s="9" t="s">
        <v>495</v>
      </c>
      <c r="C487" s="4">
        <v>0.92</v>
      </c>
      <c r="F487" s="3" t="s">
        <v>1518</v>
      </c>
      <c r="G487" s="4">
        <v>1</v>
      </c>
    </row>
    <row r="488" spans="2:7" x14ac:dyDescent="0.15">
      <c r="B488" s="9" t="s">
        <v>496</v>
      </c>
      <c r="C488" s="4">
        <v>0.92</v>
      </c>
      <c r="F488" s="3" t="s">
        <v>1519</v>
      </c>
      <c r="G488" s="4">
        <v>1</v>
      </c>
    </row>
    <row r="489" spans="2:7" x14ac:dyDescent="0.15">
      <c r="B489" s="9" t="s">
        <v>497</v>
      </c>
      <c r="C489" s="4">
        <v>0.92</v>
      </c>
      <c r="F489" s="3" t="s">
        <v>1520</v>
      </c>
      <c r="G489" s="4">
        <v>1</v>
      </c>
    </row>
    <row r="490" spans="2:7" x14ac:dyDescent="0.15">
      <c r="B490" s="9" t="s">
        <v>498</v>
      </c>
      <c r="C490" s="4">
        <v>0.92</v>
      </c>
      <c r="F490" s="3" t="s">
        <v>1521</v>
      </c>
      <c r="G490" s="4">
        <v>1</v>
      </c>
    </row>
    <row r="491" spans="2:7" x14ac:dyDescent="0.15">
      <c r="B491" s="9" t="s">
        <v>499</v>
      </c>
      <c r="C491" s="4">
        <v>0.92</v>
      </c>
      <c r="F491" s="3" t="s">
        <v>1522</v>
      </c>
      <c r="G491" s="4">
        <v>1</v>
      </c>
    </row>
    <row r="492" spans="2:7" x14ac:dyDescent="0.15">
      <c r="B492" s="9" t="s">
        <v>500</v>
      </c>
      <c r="C492" s="4">
        <v>0.92</v>
      </c>
      <c r="F492" s="3" t="s">
        <v>1523</v>
      </c>
      <c r="G492" s="4">
        <v>1</v>
      </c>
    </row>
    <row r="493" spans="2:7" x14ac:dyDescent="0.15">
      <c r="B493" s="9" t="s">
        <v>501</v>
      </c>
      <c r="C493" s="4">
        <v>0.92</v>
      </c>
      <c r="F493" s="3" t="s">
        <v>1524</v>
      </c>
      <c r="G493" s="4">
        <v>1</v>
      </c>
    </row>
    <row r="494" spans="2:7" x14ac:dyDescent="0.15">
      <c r="B494" s="9" t="s">
        <v>502</v>
      </c>
      <c r="C494" s="4">
        <v>0.92</v>
      </c>
      <c r="F494" s="3" t="s">
        <v>1525</v>
      </c>
      <c r="G494" s="4">
        <v>1</v>
      </c>
    </row>
    <row r="495" spans="2:7" x14ac:dyDescent="0.15">
      <c r="B495" s="9" t="s">
        <v>503</v>
      </c>
      <c r="C495" s="4">
        <v>0.92</v>
      </c>
      <c r="F495" s="3" t="s">
        <v>1526</v>
      </c>
      <c r="G495" s="4">
        <v>1</v>
      </c>
    </row>
    <row r="496" spans="2:7" x14ac:dyDescent="0.15">
      <c r="B496" s="9" t="s">
        <v>504</v>
      </c>
      <c r="C496" s="4">
        <v>0.92</v>
      </c>
      <c r="F496" s="3" t="s">
        <v>1527</v>
      </c>
      <c r="G496" s="4">
        <v>1</v>
      </c>
    </row>
    <row r="497" spans="2:7" x14ac:dyDescent="0.15">
      <c r="B497" s="9" t="s">
        <v>505</v>
      </c>
      <c r="C497" s="4">
        <v>0.92</v>
      </c>
      <c r="F497" s="3" t="s">
        <v>1528</v>
      </c>
      <c r="G497" s="4">
        <v>1</v>
      </c>
    </row>
    <row r="498" spans="2:7" x14ac:dyDescent="0.15">
      <c r="B498" s="9" t="s">
        <v>506</v>
      </c>
      <c r="C498" s="4">
        <v>0.92</v>
      </c>
      <c r="F498" s="3" t="s">
        <v>1529</v>
      </c>
      <c r="G498" s="4">
        <v>1</v>
      </c>
    </row>
    <row r="499" spans="2:7" x14ac:dyDescent="0.15">
      <c r="B499" s="9" t="s">
        <v>507</v>
      </c>
      <c r="C499" s="4">
        <v>0.92</v>
      </c>
      <c r="F499" s="3" t="s">
        <v>1530</v>
      </c>
      <c r="G499" s="4">
        <v>1</v>
      </c>
    </row>
    <row r="500" spans="2:7" x14ac:dyDescent="0.15">
      <c r="B500" s="9" t="s">
        <v>508</v>
      </c>
      <c r="C500" s="4">
        <v>0.92</v>
      </c>
      <c r="F500" s="3" t="s">
        <v>1531</v>
      </c>
      <c r="G500" s="4">
        <v>1</v>
      </c>
    </row>
    <row r="501" spans="2:7" x14ac:dyDescent="0.15">
      <c r="B501" s="9" t="s">
        <v>509</v>
      </c>
      <c r="C501" s="4">
        <v>0.92</v>
      </c>
      <c r="F501" s="3" t="s">
        <v>1532</v>
      </c>
      <c r="G501" s="4">
        <v>1</v>
      </c>
    </row>
    <row r="502" spans="2:7" x14ac:dyDescent="0.15">
      <c r="B502" s="9" t="s">
        <v>510</v>
      </c>
      <c r="C502" s="4">
        <v>0.92</v>
      </c>
      <c r="F502" s="3" t="s">
        <v>1533</v>
      </c>
      <c r="G502" s="4">
        <v>1</v>
      </c>
    </row>
    <row r="503" spans="2:7" x14ac:dyDescent="0.15">
      <c r="B503" s="9" t="s">
        <v>511</v>
      </c>
      <c r="C503" s="4">
        <v>0.92</v>
      </c>
      <c r="F503" s="3" t="s">
        <v>1534</v>
      </c>
      <c r="G503" s="4">
        <v>1</v>
      </c>
    </row>
    <row r="504" spans="2:7" x14ac:dyDescent="0.15">
      <c r="B504" s="9" t="s">
        <v>512</v>
      </c>
      <c r="C504" s="4">
        <v>0.92</v>
      </c>
      <c r="F504" s="3" t="s">
        <v>1535</v>
      </c>
      <c r="G504" s="4">
        <v>1</v>
      </c>
    </row>
    <row r="505" spans="2:7" x14ac:dyDescent="0.15">
      <c r="B505" s="9" t="s">
        <v>513</v>
      </c>
      <c r="C505" s="4">
        <v>0.92</v>
      </c>
      <c r="F505" s="3" t="s">
        <v>1536</v>
      </c>
      <c r="G505" s="4">
        <v>1</v>
      </c>
    </row>
    <row r="506" spans="2:7" x14ac:dyDescent="0.15">
      <c r="B506" s="9" t="s">
        <v>514</v>
      </c>
      <c r="C506" s="4">
        <v>0.92</v>
      </c>
      <c r="F506" s="3" t="s">
        <v>1537</v>
      </c>
      <c r="G506" s="4">
        <v>1</v>
      </c>
    </row>
    <row r="507" spans="2:7" x14ac:dyDescent="0.15">
      <c r="B507" s="9" t="s">
        <v>515</v>
      </c>
      <c r="C507" s="4">
        <v>0.92</v>
      </c>
      <c r="F507" s="3" t="s">
        <v>1538</v>
      </c>
      <c r="G507" s="4">
        <v>1</v>
      </c>
    </row>
    <row r="508" spans="2:7" x14ac:dyDescent="0.15">
      <c r="B508" s="9" t="s">
        <v>516</v>
      </c>
      <c r="C508" s="4">
        <v>0.92</v>
      </c>
      <c r="F508" s="3" t="s">
        <v>1539</v>
      </c>
      <c r="G508" s="4">
        <v>1</v>
      </c>
    </row>
    <row r="509" spans="2:7" x14ac:dyDescent="0.15">
      <c r="B509" s="9" t="s">
        <v>517</v>
      </c>
      <c r="C509" s="4">
        <v>0.92</v>
      </c>
      <c r="F509" s="3" t="s">
        <v>1540</v>
      </c>
      <c r="G509" s="4">
        <v>1</v>
      </c>
    </row>
    <row r="510" spans="2:7" x14ac:dyDescent="0.15">
      <c r="B510" s="9" t="s">
        <v>518</v>
      </c>
      <c r="C510" s="4">
        <v>0.85</v>
      </c>
      <c r="F510" s="3" t="s">
        <v>1541</v>
      </c>
      <c r="G510" s="4">
        <v>1</v>
      </c>
    </row>
    <row r="511" spans="2:7" x14ac:dyDescent="0.15">
      <c r="B511" s="9" t="s">
        <v>519</v>
      </c>
      <c r="C511" s="4">
        <v>0.85</v>
      </c>
      <c r="F511" s="3" t="s">
        <v>1542</v>
      </c>
      <c r="G511" s="4">
        <v>1</v>
      </c>
    </row>
    <row r="512" spans="2:7" x14ac:dyDescent="0.15">
      <c r="B512" s="9" t="s">
        <v>520</v>
      </c>
      <c r="C512" s="4">
        <v>0.85</v>
      </c>
      <c r="F512" s="3" t="s">
        <v>1543</v>
      </c>
      <c r="G512" s="4">
        <v>1</v>
      </c>
    </row>
    <row r="513" spans="2:7" x14ac:dyDescent="0.15">
      <c r="B513" s="9" t="s">
        <v>521</v>
      </c>
      <c r="C513" s="4">
        <v>0.85</v>
      </c>
      <c r="F513" s="3" t="s">
        <v>1544</v>
      </c>
      <c r="G513" s="4">
        <v>1</v>
      </c>
    </row>
    <row r="514" spans="2:7" x14ac:dyDescent="0.15">
      <c r="B514" s="9" t="s">
        <v>522</v>
      </c>
      <c r="C514" s="4">
        <v>0.85</v>
      </c>
      <c r="F514" s="3" t="s">
        <v>1545</v>
      </c>
      <c r="G514" s="4">
        <v>1</v>
      </c>
    </row>
    <row r="515" spans="2:7" x14ac:dyDescent="0.15">
      <c r="B515" s="9" t="s">
        <v>523</v>
      </c>
      <c r="C515" s="4">
        <v>0.85</v>
      </c>
      <c r="F515" s="3" t="s">
        <v>1546</v>
      </c>
      <c r="G515" s="4">
        <v>1</v>
      </c>
    </row>
    <row r="516" spans="2:7" x14ac:dyDescent="0.15">
      <c r="B516" s="9" t="s">
        <v>524</v>
      </c>
      <c r="C516" s="4">
        <v>0.92</v>
      </c>
      <c r="F516" s="3" t="s">
        <v>1547</v>
      </c>
      <c r="G516" s="4">
        <v>1</v>
      </c>
    </row>
    <row r="517" spans="2:7" x14ac:dyDescent="0.15">
      <c r="B517" s="9" t="s">
        <v>525</v>
      </c>
      <c r="C517" s="4">
        <v>0.92</v>
      </c>
      <c r="F517" s="3" t="s">
        <v>1548</v>
      </c>
      <c r="G517" s="4">
        <v>1</v>
      </c>
    </row>
    <row r="518" spans="2:7" x14ac:dyDescent="0.15">
      <c r="B518" s="9" t="s">
        <v>526</v>
      </c>
      <c r="C518" s="4">
        <v>0.92</v>
      </c>
      <c r="F518" s="3" t="s">
        <v>1549</v>
      </c>
      <c r="G518" s="4">
        <v>1</v>
      </c>
    </row>
    <row r="519" spans="2:7" x14ac:dyDescent="0.15">
      <c r="B519" s="9" t="s">
        <v>527</v>
      </c>
      <c r="C519" s="4">
        <v>0.92</v>
      </c>
      <c r="F519" s="3" t="s">
        <v>1550</v>
      </c>
      <c r="G519" s="4">
        <v>1</v>
      </c>
    </row>
    <row r="520" spans="2:7" x14ac:dyDescent="0.15">
      <c r="B520" s="9" t="s">
        <v>528</v>
      </c>
      <c r="C520" s="4">
        <v>0.92</v>
      </c>
      <c r="F520" s="3" t="s">
        <v>1551</v>
      </c>
      <c r="G520" s="4">
        <v>1</v>
      </c>
    </row>
    <row r="521" spans="2:7" x14ac:dyDescent="0.15">
      <c r="B521" s="9" t="s">
        <v>529</v>
      </c>
      <c r="C521" s="4">
        <v>0.92</v>
      </c>
      <c r="F521" s="3" t="s">
        <v>1552</v>
      </c>
      <c r="G521" s="4">
        <v>1</v>
      </c>
    </row>
    <row r="522" spans="2:7" x14ac:dyDescent="0.15">
      <c r="B522" s="9" t="s">
        <v>530</v>
      </c>
      <c r="C522" s="4">
        <v>0.92</v>
      </c>
      <c r="F522" s="3" t="s">
        <v>1553</v>
      </c>
      <c r="G522" s="4">
        <v>1</v>
      </c>
    </row>
    <row r="523" spans="2:7" x14ac:dyDescent="0.15">
      <c r="B523" s="9" t="s">
        <v>531</v>
      </c>
      <c r="C523" s="4">
        <v>0.92</v>
      </c>
      <c r="F523" s="3" t="s">
        <v>1554</v>
      </c>
      <c r="G523" s="4">
        <v>1</v>
      </c>
    </row>
    <row r="524" spans="2:7" x14ac:dyDescent="0.15">
      <c r="B524" s="9" t="s">
        <v>532</v>
      </c>
      <c r="C524" s="4">
        <v>0.92</v>
      </c>
      <c r="F524" s="3" t="s">
        <v>1555</v>
      </c>
      <c r="G524" s="4">
        <v>1</v>
      </c>
    </row>
    <row r="525" spans="2:7" x14ac:dyDescent="0.15">
      <c r="B525" s="9" t="s">
        <v>533</v>
      </c>
      <c r="C525" s="4">
        <v>0.92</v>
      </c>
      <c r="F525" s="3" t="s">
        <v>1556</v>
      </c>
      <c r="G525" s="4">
        <v>1</v>
      </c>
    </row>
    <row r="526" spans="2:7" x14ac:dyDescent="0.15">
      <c r="B526" s="9" t="s">
        <v>534</v>
      </c>
      <c r="C526" s="4">
        <v>0.97</v>
      </c>
      <c r="F526" s="3" t="s">
        <v>1557</v>
      </c>
      <c r="G526" s="4">
        <v>1</v>
      </c>
    </row>
    <row r="527" spans="2:7" x14ac:dyDescent="0.15">
      <c r="B527" s="9" t="s">
        <v>535</v>
      </c>
      <c r="C527" s="4">
        <v>0.97</v>
      </c>
      <c r="F527" s="3" t="s">
        <v>1558</v>
      </c>
      <c r="G527" s="4">
        <v>1</v>
      </c>
    </row>
    <row r="528" spans="2:7" x14ac:dyDescent="0.15">
      <c r="B528" s="9" t="s">
        <v>536</v>
      </c>
      <c r="C528" s="4">
        <v>0.97</v>
      </c>
      <c r="F528" s="3" t="s">
        <v>1559</v>
      </c>
      <c r="G528" s="4">
        <v>1</v>
      </c>
    </row>
    <row r="529" spans="2:7" x14ac:dyDescent="0.15">
      <c r="B529" s="9" t="s">
        <v>537</v>
      </c>
      <c r="C529" s="4">
        <v>0.97</v>
      </c>
      <c r="F529" s="3" t="s">
        <v>1560</v>
      </c>
      <c r="G529" s="4">
        <v>1</v>
      </c>
    </row>
    <row r="530" spans="2:7" x14ac:dyDescent="0.15">
      <c r="B530" s="9" t="s">
        <v>538</v>
      </c>
      <c r="C530" s="4">
        <v>0.97</v>
      </c>
      <c r="F530" s="3" t="s">
        <v>1561</v>
      </c>
      <c r="G530" s="4">
        <v>1</v>
      </c>
    </row>
    <row r="531" spans="2:7" x14ac:dyDescent="0.15">
      <c r="B531" s="9" t="s">
        <v>539</v>
      </c>
      <c r="C531" s="4">
        <v>0.97</v>
      </c>
      <c r="F531" s="3" t="s">
        <v>1562</v>
      </c>
      <c r="G531" s="4">
        <v>1</v>
      </c>
    </row>
    <row r="532" spans="2:7" x14ac:dyDescent="0.15">
      <c r="B532" s="9" t="s">
        <v>540</v>
      </c>
      <c r="C532" s="4">
        <v>0.97</v>
      </c>
      <c r="F532" s="3" t="s">
        <v>1563</v>
      </c>
      <c r="G532" s="4">
        <v>1</v>
      </c>
    </row>
    <row r="533" spans="2:7" x14ac:dyDescent="0.15">
      <c r="B533" s="9" t="s">
        <v>541</v>
      </c>
      <c r="C533" s="4">
        <v>0.97</v>
      </c>
      <c r="F533" s="3" t="s">
        <v>1564</v>
      </c>
      <c r="G533" s="4">
        <v>1</v>
      </c>
    </row>
    <row r="534" spans="2:7" x14ac:dyDescent="0.15">
      <c r="B534" s="9" t="s">
        <v>542</v>
      </c>
      <c r="C534" s="4">
        <v>0.97</v>
      </c>
      <c r="F534" s="3" t="s">
        <v>1565</v>
      </c>
      <c r="G534" s="4">
        <v>1</v>
      </c>
    </row>
    <row r="535" spans="2:7" x14ac:dyDescent="0.15">
      <c r="B535" s="9" t="s">
        <v>543</v>
      </c>
      <c r="C535" s="4">
        <v>0.97</v>
      </c>
      <c r="F535" s="3" t="s">
        <v>1566</v>
      </c>
      <c r="G535" s="4">
        <v>1</v>
      </c>
    </row>
    <row r="536" spans="2:7" x14ac:dyDescent="0.15">
      <c r="B536" s="9" t="s">
        <v>544</v>
      </c>
      <c r="C536" s="4">
        <v>0.97</v>
      </c>
      <c r="F536" s="3" t="s">
        <v>1567</v>
      </c>
      <c r="G536" s="4">
        <v>1</v>
      </c>
    </row>
    <row r="537" spans="2:7" x14ac:dyDescent="0.15">
      <c r="B537" s="9" t="s">
        <v>545</v>
      </c>
      <c r="C537" s="4">
        <v>0.97</v>
      </c>
      <c r="F537" s="3" t="s">
        <v>1568</v>
      </c>
      <c r="G537" s="4">
        <v>1</v>
      </c>
    </row>
    <row r="538" spans="2:7" x14ac:dyDescent="0.15">
      <c r="B538" s="9" t="s">
        <v>546</v>
      </c>
      <c r="C538" s="4">
        <v>0.97</v>
      </c>
      <c r="F538" s="3" t="s">
        <v>1569</v>
      </c>
      <c r="G538" s="4">
        <v>1</v>
      </c>
    </row>
    <row r="539" spans="2:7" x14ac:dyDescent="0.15">
      <c r="B539" s="9" t="s">
        <v>547</v>
      </c>
      <c r="C539" s="4">
        <v>0.97</v>
      </c>
      <c r="F539" s="3" t="s">
        <v>1570</v>
      </c>
      <c r="G539" s="4">
        <v>1</v>
      </c>
    </row>
    <row r="540" spans="2:7" x14ac:dyDescent="0.15">
      <c r="B540" s="9" t="s">
        <v>548</v>
      </c>
      <c r="C540" s="4">
        <v>0.97</v>
      </c>
      <c r="F540" s="3" t="s">
        <v>1571</v>
      </c>
      <c r="G540" s="4">
        <v>1</v>
      </c>
    </row>
    <row r="541" spans="2:7" x14ac:dyDescent="0.15">
      <c r="B541" s="9" t="s">
        <v>549</v>
      </c>
      <c r="C541" s="4">
        <v>0.97</v>
      </c>
      <c r="F541" s="3" t="s">
        <v>1572</v>
      </c>
      <c r="G541" s="4">
        <v>1</v>
      </c>
    </row>
    <row r="542" spans="2:7" x14ac:dyDescent="0.15">
      <c r="B542" s="9" t="s">
        <v>550</v>
      </c>
      <c r="C542" s="4">
        <v>0.97</v>
      </c>
      <c r="F542" s="3" t="s">
        <v>1573</v>
      </c>
      <c r="G542" s="4">
        <v>1</v>
      </c>
    </row>
    <row r="543" spans="2:7" x14ac:dyDescent="0.15">
      <c r="B543" s="9" t="s">
        <v>551</v>
      </c>
      <c r="C543" s="4">
        <v>0.97</v>
      </c>
      <c r="F543" s="3" t="s">
        <v>1574</v>
      </c>
      <c r="G543" s="4">
        <v>1</v>
      </c>
    </row>
    <row r="544" spans="2:7" x14ac:dyDescent="0.15">
      <c r="B544" s="9" t="s">
        <v>552</v>
      </c>
      <c r="C544" s="4">
        <v>0.97</v>
      </c>
      <c r="F544" s="3" t="s">
        <v>1575</v>
      </c>
      <c r="G544" s="4">
        <v>1</v>
      </c>
    </row>
    <row r="545" spans="2:7" x14ac:dyDescent="0.15">
      <c r="B545" s="9" t="s">
        <v>553</v>
      </c>
      <c r="C545" s="4">
        <v>0.97</v>
      </c>
      <c r="F545" s="3" t="s">
        <v>1576</v>
      </c>
      <c r="G545" s="4">
        <v>1</v>
      </c>
    </row>
    <row r="546" spans="2:7" x14ac:dyDescent="0.15">
      <c r="B546" s="9" t="s">
        <v>554</v>
      </c>
      <c r="C546" s="4">
        <v>0.97</v>
      </c>
      <c r="F546" s="3" t="s">
        <v>1577</v>
      </c>
      <c r="G546" s="4">
        <v>1</v>
      </c>
    </row>
    <row r="547" spans="2:7" x14ac:dyDescent="0.15">
      <c r="B547" s="9" t="s">
        <v>555</v>
      </c>
      <c r="C547" s="4">
        <v>0.9</v>
      </c>
      <c r="F547" s="3" t="s">
        <v>1578</v>
      </c>
      <c r="G547" s="4">
        <v>1</v>
      </c>
    </row>
    <row r="548" spans="2:7" x14ac:dyDescent="0.15">
      <c r="B548" s="9" t="s">
        <v>556</v>
      </c>
      <c r="C548" s="4">
        <v>0.9</v>
      </c>
      <c r="F548" s="3" t="s">
        <v>1579</v>
      </c>
      <c r="G548" s="4">
        <v>1</v>
      </c>
    </row>
    <row r="549" spans="2:7" x14ac:dyDescent="0.15">
      <c r="B549" s="9" t="s">
        <v>557</v>
      </c>
      <c r="C549" s="4">
        <v>0.9</v>
      </c>
      <c r="F549" s="3" t="s">
        <v>1580</v>
      </c>
      <c r="G549" s="4">
        <v>1</v>
      </c>
    </row>
    <row r="550" spans="2:7" x14ac:dyDescent="0.15">
      <c r="B550" s="9" t="s">
        <v>558</v>
      </c>
      <c r="C550" s="4">
        <v>0.9</v>
      </c>
      <c r="F550" s="3" t="s">
        <v>1581</v>
      </c>
      <c r="G550" s="4">
        <v>1</v>
      </c>
    </row>
    <row r="551" spans="2:7" x14ac:dyDescent="0.15">
      <c r="B551" s="9" t="s">
        <v>559</v>
      </c>
      <c r="C551" s="4">
        <v>0.9</v>
      </c>
      <c r="F551" s="3" t="s">
        <v>1582</v>
      </c>
      <c r="G551" s="4">
        <v>1</v>
      </c>
    </row>
    <row r="552" spans="2:7" x14ac:dyDescent="0.15">
      <c r="B552" s="9" t="s">
        <v>560</v>
      </c>
      <c r="C552" s="4">
        <v>0.9</v>
      </c>
      <c r="F552" s="3" t="s">
        <v>1583</v>
      </c>
      <c r="G552" s="4">
        <v>1</v>
      </c>
    </row>
    <row r="553" spans="2:7" x14ac:dyDescent="0.15">
      <c r="B553" s="9" t="s">
        <v>561</v>
      </c>
      <c r="C553" s="4">
        <v>0.9</v>
      </c>
      <c r="F553" s="3" t="s">
        <v>1584</v>
      </c>
      <c r="G553" s="4">
        <v>1</v>
      </c>
    </row>
    <row r="554" spans="2:7" x14ac:dyDescent="0.15">
      <c r="B554" s="9" t="s">
        <v>562</v>
      </c>
      <c r="C554" s="4">
        <v>0.9</v>
      </c>
      <c r="F554" s="3" t="s">
        <v>1585</v>
      </c>
      <c r="G554" s="4">
        <v>1</v>
      </c>
    </row>
    <row r="555" spans="2:7" x14ac:dyDescent="0.15">
      <c r="B555" s="9" t="s">
        <v>563</v>
      </c>
      <c r="C555" s="4">
        <v>0.9</v>
      </c>
      <c r="F555" s="3" t="s">
        <v>1586</v>
      </c>
      <c r="G555" s="4">
        <v>1</v>
      </c>
    </row>
    <row r="556" spans="2:7" x14ac:dyDescent="0.15">
      <c r="B556" s="9" t="s">
        <v>564</v>
      </c>
      <c r="C556" s="4">
        <v>0.9</v>
      </c>
      <c r="F556" s="3" t="s">
        <v>1587</v>
      </c>
      <c r="G556" s="4">
        <v>1</v>
      </c>
    </row>
    <row r="557" spans="2:7" x14ac:dyDescent="0.15">
      <c r="B557" s="9" t="s">
        <v>565</v>
      </c>
      <c r="C557" s="4">
        <v>0.9</v>
      </c>
      <c r="F557" s="3" t="s">
        <v>1588</v>
      </c>
      <c r="G557" s="4">
        <v>1</v>
      </c>
    </row>
    <row r="558" spans="2:7" x14ac:dyDescent="0.15">
      <c r="B558" s="9" t="s">
        <v>566</v>
      </c>
      <c r="C558" s="4">
        <v>0.97</v>
      </c>
      <c r="F558" s="3" t="s">
        <v>1589</v>
      </c>
      <c r="G558" s="4">
        <v>1</v>
      </c>
    </row>
    <row r="559" spans="2:7" x14ac:dyDescent="0.15">
      <c r="B559" s="9" t="s">
        <v>567</v>
      </c>
      <c r="C559" s="4">
        <v>0.97</v>
      </c>
      <c r="F559" s="3" t="s">
        <v>1590</v>
      </c>
      <c r="G559" s="4">
        <v>1</v>
      </c>
    </row>
    <row r="560" spans="2:7" x14ac:dyDescent="0.15">
      <c r="B560" s="9" t="s">
        <v>568</v>
      </c>
      <c r="C560" s="4">
        <v>0.97</v>
      </c>
      <c r="F560" s="3" t="s">
        <v>1591</v>
      </c>
      <c r="G560" s="4">
        <v>1</v>
      </c>
    </row>
    <row r="561" spans="2:7" x14ac:dyDescent="0.15">
      <c r="B561" s="9" t="s">
        <v>569</v>
      </c>
      <c r="C561" s="4">
        <v>0.97</v>
      </c>
      <c r="F561" s="3" t="s">
        <v>1592</v>
      </c>
      <c r="G561" s="4">
        <v>1</v>
      </c>
    </row>
    <row r="562" spans="2:7" x14ac:dyDescent="0.15">
      <c r="B562" s="9" t="s">
        <v>570</v>
      </c>
      <c r="C562" s="4">
        <v>0.97</v>
      </c>
      <c r="F562" s="3" t="s">
        <v>1593</v>
      </c>
      <c r="G562" s="4">
        <v>1</v>
      </c>
    </row>
    <row r="563" spans="2:7" x14ac:dyDescent="0.15">
      <c r="B563" s="9" t="s">
        <v>571</v>
      </c>
      <c r="C563" s="4">
        <v>1.02</v>
      </c>
      <c r="F563" s="3" t="s">
        <v>1594</v>
      </c>
      <c r="G563" s="4">
        <v>1</v>
      </c>
    </row>
    <row r="564" spans="2:7" x14ac:dyDescent="0.15">
      <c r="B564" s="9" t="s">
        <v>572</v>
      </c>
      <c r="C564" s="4">
        <v>1.02</v>
      </c>
      <c r="F564" s="3" t="s">
        <v>1595</v>
      </c>
      <c r="G564" s="4">
        <v>1</v>
      </c>
    </row>
    <row r="565" spans="2:7" x14ac:dyDescent="0.15">
      <c r="B565" s="9" t="s">
        <v>573</v>
      </c>
      <c r="C565" s="4">
        <v>1.02</v>
      </c>
      <c r="F565" s="3" t="s">
        <v>1596</v>
      </c>
      <c r="G565" s="4">
        <v>1</v>
      </c>
    </row>
    <row r="566" spans="2:7" x14ac:dyDescent="0.15">
      <c r="B566" s="9" t="s">
        <v>574</v>
      </c>
      <c r="C566" s="4">
        <v>1.02</v>
      </c>
      <c r="F566" s="3" t="s">
        <v>1597</v>
      </c>
      <c r="G566" s="4">
        <v>1</v>
      </c>
    </row>
    <row r="567" spans="2:7" x14ac:dyDescent="0.15">
      <c r="B567" s="9" t="s">
        <v>575</v>
      </c>
      <c r="C567" s="4">
        <v>1.02</v>
      </c>
      <c r="F567" s="3" t="s">
        <v>1598</v>
      </c>
      <c r="G567" s="4">
        <v>1</v>
      </c>
    </row>
    <row r="568" spans="2:7" x14ac:dyDescent="0.15">
      <c r="B568" s="9" t="s">
        <v>576</v>
      </c>
      <c r="C568" s="4">
        <v>0.9</v>
      </c>
      <c r="F568" s="3" t="s">
        <v>1599</v>
      </c>
      <c r="G568" s="4">
        <v>1</v>
      </c>
    </row>
    <row r="569" spans="2:7" x14ac:dyDescent="0.15">
      <c r="B569" s="9" t="s">
        <v>577</v>
      </c>
      <c r="C569" s="4">
        <v>0.9</v>
      </c>
      <c r="F569" s="3" t="s">
        <v>1600</v>
      </c>
      <c r="G569" s="4">
        <v>1</v>
      </c>
    </row>
    <row r="570" spans="2:7" x14ac:dyDescent="0.15">
      <c r="B570" s="9" t="s">
        <v>578</v>
      </c>
      <c r="C570" s="4">
        <v>0.9</v>
      </c>
      <c r="F570" s="3" t="s">
        <v>1601</v>
      </c>
      <c r="G570" s="4">
        <v>1</v>
      </c>
    </row>
    <row r="571" spans="2:7" x14ac:dyDescent="0.15">
      <c r="B571" s="9" t="s">
        <v>579</v>
      </c>
      <c r="C571" s="4">
        <v>1.02</v>
      </c>
      <c r="F571" s="3" t="s">
        <v>1602</v>
      </c>
      <c r="G571" s="4">
        <v>1</v>
      </c>
    </row>
    <row r="572" spans="2:7" x14ac:dyDescent="0.15">
      <c r="B572" s="9" t="s">
        <v>580</v>
      </c>
      <c r="C572" s="4">
        <v>1.02</v>
      </c>
      <c r="F572" s="3" t="s">
        <v>1603</v>
      </c>
      <c r="G572" s="4">
        <v>1</v>
      </c>
    </row>
    <row r="573" spans="2:7" x14ac:dyDescent="0.15">
      <c r="B573" s="9" t="s">
        <v>581</v>
      </c>
      <c r="C573" s="4">
        <v>1.02</v>
      </c>
      <c r="F573" s="3" t="s">
        <v>1604</v>
      </c>
      <c r="G573" s="4">
        <v>1</v>
      </c>
    </row>
    <row r="574" spans="2:7" x14ac:dyDescent="0.15">
      <c r="B574" s="9" t="s">
        <v>582</v>
      </c>
      <c r="C574" s="4">
        <v>1.02</v>
      </c>
      <c r="F574" s="3" t="s">
        <v>1605</v>
      </c>
      <c r="G574" s="4">
        <v>1</v>
      </c>
    </row>
    <row r="575" spans="2:7" x14ac:dyDescent="0.15">
      <c r="B575" s="9" t="s">
        <v>583</v>
      </c>
      <c r="C575" s="4">
        <v>1.02</v>
      </c>
      <c r="F575" s="3" t="s">
        <v>1606</v>
      </c>
      <c r="G575" s="4">
        <v>1</v>
      </c>
    </row>
    <row r="576" spans="2:7" x14ac:dyDescent="0.15">
      <c r="B576" s="9" t="s">
        <v>584</v>
      </c>
      <c r="C576" s="4">
        <v>1.02</v>
      </c>
      <c r="F576" s="3" t="s">
        <v>1607</v>
      </c>
      <c r="G576" s="4">
        <v>1</v>
      </c>
    </row>
    <row r="577" spans="2:7" x14ac:dyDescent="0.15">
      <c r="B577" s="9" t="s">
        <v>585</v>
      </c>
      <c r="C577" s="4">
        <v>1.02</v>
      </c>
      <c r="F577" s="3" t="s">
        <v>1608</v>
      </c>
      <c r="G577" s="4">
        <v>1</v>
      </c>
    </row>
    <row r="578" spans="2:7" x14ac:dyDescent="0.15">
      <c r="B578" s="9" t="s">
        <v>586</v>
      </c>
      <c r="C578" s="4">
        <v>1.02</v>
      </c>
      <c r="F578" s="3" t="s">
        <v>1609</v>
      </c>
      <c r="G578" s="4">
        <v>1</v>
      </c>
    </row>
    <row r="579" spans="2:7" x14ac:dyDescent="0.15">
      <c r="B579" s="9" t="s">
        <v>587</v>
      </c>
      <c r="C579" s="4">
        <v>1.02</v>
      </c>
      <c r="F579" s="3" t="s">
        <v>1610</v>
      </c>
      <c r="G579" s="4">
        <v>1</v>
      </c>
    </row>
    <row r="580" spans="2:7" x14ac:dyDescent="0.15">
      <c r="B580" s="9" t="s">
        <v>588</v>
      </c>
      <c r="C580" s="4">
        <v>1.02</v>
      </c>
      <c r="F580" s="3" t="s">
        <v>1611</v>
      </c>
      <c r="G580" s="4">
        <v>1</v>
      </c>
    </row>
    <row r="581" spans="2:7" x14ac:dyDescent="0.15">
      <c r="B581" s="9" t="s">
        <v>589</v>
      </c>
      <c r="C581" s="4">
        <v>0.85</v>
      </c>
      <c r="F581" s="3" t="s">
        <v>1612</v>
      </c>
      <c r="G581" s="4">
        <v>1</v>
      </c>
    </row>
    <row r="582" spans="2:7" x14ac:dyDescent="0.15">
      <c r="B582" s="9" t="s">
        <v>590</v>
      </c>
      <c r="C582" s="4">
        <v>0.85</v>
      </c>
      <c r="F582" s="3" t="s">
        <v>1613</v>
      </c>
      <c r="G582" s="4">
        <v>1</v>
      </c>
    </row>
    <row r="583" spans="2:7" x14ac:dyDescent="0.15">
      <c r="B583" s="9" t="s">
        <v>591</v>
      </c>
      <c r="C583" s="4">
        <v>0.85</v>
      </c>
      <c r="F583" s="3" t="s">
        <v>1614</v>
      </c>
      <c r="G583" s="4">
        <v>1</v>
      </c>
    </row>
    <row r="584" spans="2:7" x14ac:dyDescent="0.15">
      <c r="B584" s="9" t="s">
        <v>592</v>
      </c>
      <c r="C584" s="4">
        <v>0.85</v>
      </c>
      <c r="F584" s="3" t="s">
        <v>1615</v>
      </c>
      <c r="G584" s="4">
        <v>1</v>
      </c>
    </row>
    <row r="585" spans="2:7" x14ac:dyDescent="0.15">
      <c r="B585" s="9" t="s">
        <v>593</v>
      </c>
      <c r="C585" s="4">
        <v>0.85</v>
      </c>
      <c r="F585" s="3" t="s">
        <v>1616</v>
      </c>
      <c r="G585" s="4">
        <v>1</v>
      </c>
    </row>
    <row r="586" spans="2:7" x14ac:dyDescent="0.15">
      <c r="B586" s="9" t="s">
        <v>594</v>
      </c>
      <c r="C586" s="4">
        <v>0.85</v>
      </c>
      <c r="F586" s="3" t="s">
        <v>1617</v>
      </c>
      <c r="G586" s="4">
        <v>1</v>
      </c>
    </row>
    <row r="587" spans="2:7" x14ac:dyDescent="0.15">
      <c r="B587" s="9" t="s">
        <v>595</v>
      </c>
      <c r="C587" s="4">
        <v>0.85</v>
      </c>
      <c r="F587" s="3" t="s">
        <v>1618</v>
      </c>
      <c r="G587" s="4">
        <v>1</v>
      </c>
    </row>
    <row r="588" spans="2:7" x14ac:dyDescent="0.15">
      <c r="B588" s="9" t="s">
        <v>596</v>
      </c>
      <c r="C588" s="4">
        <v>0.85</v>
      </c>
      <c r="F588" s="3" t="s">
        <v>1619</v>
      </c>
      <c r="G588" s="4">
        <v>1</v>
      </c>
    </row>
    <row r="589" spans="2:7" x14ac:dyDescent="0.15">
      <c r="B589" s="9" t="s">
        <v>597</v>
      </c>
      <c r="C589" s="4">
        <v>0.85</v>
      </c>
      <c r="F589" s="3" t="s">
        <v>1620</v>
      </c>
      <c r="G589" s="4">
        <v>1</v>
      </c>
    </row>
    <row r="590" spans="2:7" x14ac:dyDescent="0.15">
      <c r="B590" s="9" t="s">
        <v>598</v>
      </c>
      <c r="C590" s="4">
        <v>0.85</v>
      </c>
      <c r="F590" s="3" t="s">
        <v>1621</v>
      </c>
      <c r="G590" s="4">
        <v>1</v>
      </c>
    </row>
    <row r="591" spans="2:7" x14ac:dyDescent="0.15">
      <c r="B591" s="9" t="s">
        <v>599</v>
      </c>
      <c r="C591" s="4">
        <v>0.85</v>
      </c>
      <c r="F591" s="3" t="s">
        <v>1622</v>
      </c>
      <c r="G591" s="4">
        <v>1</v>
      </c>
    </row>
    <row r="592" spans="2:7" x14ac:dyDescent="0.15">
      <c r="B592" s="9" t="s">
        <v>600</v>
      </c>
      <c r="C592" s="4">
        <v>0.85</v>
      </c>
      <c r="F592" s="3" t="s">
        <v>1623</v>
      </c>
      <c r="G592" s="4">
        <v>1</v>
      </c>
    </row>
    <row r="593" spans="2:7" x14ac:dyDescent="0.15">
      <c r="B593" s="9" t="s">
        <v>601</v>
      </c>
      <c r="C593" s="4">
        <v>0.85</v>
      </c>
      <c r="F593" s="3" t="s">
        <v>1624</v>
      </c>
      <c r="G593" s="4">
        <v>1</v>
      </c>
    </row>
    <row r="594" spans="2:7" x14ac:dyDescent="0.15">
      <c r="B594" s="9" t="s">
        <v>602</v>
      </c>
      <c r="C594" s="4">
        <v>0.85</v>
      </c>
      <c r="F594" s="3" t="s">
        <v>1625</v>
      </c>
      <c r="G594" s="4">
        <v>1</v>
      </c>
    </row>
    <row r="595" spans="2:7" x14ac:dyDescent="0.15">
      <c r="B595" s="9" t="s">
        <v>603</v>
      </c>
      <c r="C595" s="4">
        <v>0.85</v>
      </c>
      <c r="F595" s="3" t="s">
        <v>1626</v>
      </c>
      <c r="G595" s="4">
        <v>1</v>
      </c>
    </row>
    <row r="596" spans="2:7" x14ac:dyDescent="0.15">
      <c r="B596" s="9" t="s">
        <v>604</v>
      </c>
      <c r="C596" s="4">
        <v>0.85</v>
      </c>
      <c r="F596" s="3" t="s">
        <v>1627</v>
      </c>
      <c r="G596" s="4">
        <v>1</v>
      </c>
    </row>
    <row r="597" spans="2:7" x14ac:dyDescent="0.15">
      <c r="B597" s="9" t="s">
        <v>605</v>
      </c>
      <c r="C597" s="4">
        <v>0.85</v>
      </c>
      <c r="F597" s="3" t="s">
        <v>1628</v>
      </c>
      <c r="G597" s="4">
        <v>1</v>
      </c>
    </row>
    <row r="598" spans="2:7" x14ac:dyDescent="0.15">
      <c r="B598" s="9" t="s">
        <v>606</v>
      </c>
      <c r="C598" s="4">
        <v>0.85</v>
      </c>
      <c r="F598" s="3" t="s">
        <v>1629</v>
      </c>
      <c r="G598" s="4">
        <v>1</v>
      </c>
    </row>
    <row r="599" spans="2:7" x14ac:dyDescent="0.15">
      <c r="B599" s="9" t="s">
        <v>607</v>
      </c>
      <c r="C599" s="4">
        <v>0.85</v>
      </c>
      <c r="F599" s="3" t="s">
        <v>1630</v>
      </c>
      <c r="G599" s="4">
        <v>1</v>
      </c>
    </row>
    <row r="600" spans="2:7" x14ac:dyDescent="0.15">
      <c r="B600" s="9" t="s">
        <v>608</v>
      </c>
      <c r="C600" s="4">
        <v>0.85</v>
      </c>
      <c r="F600" s="3" t="s">
        <v>1631</v>
      </c>
      <c r="G600" s="4">
        <v>1</v>
      </c>
    </row>
    <row r="601" spans="2:7" x14ac:dyDescent="0.15">
      <c r="B601" s="9" t="s">
        <v>609</v>
      </c>
      <c r="C601" s="4">
        <v>0.85</v>
      </c>
      <c r="F601" s="3" t="s">
        <v>1632</v>
      </c>
      <c r="G601" s="4">
        <v>1</v>
      </c>
    </row>
    <row r="602" spans="2:7" x14ac:dyDescent="0.15">
      <c r="B602" s="9" t="s">
        <v>610</v>
      </c>
      <c r="C602" s="4">
        <v>0.85</v>
      </c>
      <c r="F602" s="3" t="s">
        <v>1633</v>
      </c>
      <c r="G602" s="4">
        <v>1</v>
      </c>
    </row>
    <row r="603" spans="2:7" x14ac:dyDescent="0.15">
      <c r="B603" s="9" t="s">
        <v>611</v>
      </c>
      <c r="C603" s="4">
        <v>0.85</v>
      </c>
      <c r="F603" s="3" t="s">
        <v>1634</v>
      </c>
      <c r="G603" s="4">
        <v>1</v>
      </c>
    </row>
    <row r="604" spans="2:7" x14ac:dyDescent="0.15">
      <c r="B604" s="9" t="s">
        <v>612</v>
      </c>
      <c r="C604" s="4">
        <v>0.85</v>
      </c>
      <c r="F604" s="3" t="s">
        <v>1635</v>
      </c>
      <c r="G604" s="4">
        <v>1</v>
      </c>
    </row>
    <row r="605" spans="2:7" x14ac:dyDescent="0.15">
      <c r="B605" s="9" t="s">
        <v>613</v>
      </c>
      <c r="C605" s="4">
        <v>0.85</v>
      </c>
      <c r="F605" s="3" t="s">
        <v>1636</v>
      </c>
      <c r="G605" s="4">
        <v>1</v>
      </c>
    </row>
    <row r="606" spans="2:7" x14ac:dyDescent="0.15">
      <c r="B606" s="9" t="s">
        <v>614</v>
      </c>
      <c r="C606" s="4">
        <v>0.85</v>
      </c>
      <c r="F606" s="3" t="s">
        <v>1637</v>
      </c>
      <c r="G606" s="4">
        <v>1</v>
      </c>
    </row>
    <row r="607" spans="2:7" x14ac:dyDescent="0.15">
      <c r="B607" s="9" t="s">
        <v>615</v>
      </c>
      <c r="C607" s="4">
        <v>0.85</v>
      </c>
      <c r="F607" s="3" t="s">
        <v>1638</v>
      </c>
      <c r="G607" s="4">
        <v>1</v>
      </c>
    </row>
    <row r="608" spans="2:7" x14ac:dyDescent="0.15">
      <c r="B608" s="9" t="s">
        <v>616</v>
      </c>
      <c r="C608" s="4">
        <v>0.85</v>
      </c>
      <c r="F608" s="3" t="s">
        <v>1639</v>
      </c>
      <c r="G608" s="4">
        <v>1</v>
      </c>
    </row>
    <row r="609" spans="2:7" x14ac:dyDescent="0.15">
      <c r="B609" s="9" t="s">
        <v>617</v>
      </c>
      <c r="C609" s="4">
        <v>0.85</v>
      </c>
      <c r="F609" s="3" t="s">
        <v>1640</v>
      </c>
      <c r="G609" s="4">
        <v>1</v>
      </c>
    </row>
    <row r="610" spans="2:7" x14ac:dyDescent="0.15">
      <c r="B610" s="9" t="s">
        <v>618</v>
      </c>
      <c r="C610" s="4">
        <v>0.85</v>
      </c>
      <c r="F610" s="3" t="s">
        <v>1641</v>
      </c>
      <c r="G610" s="4">
        <v>1</v>
      </c>
    </row>
    <row r="611" spans="2:7" x14ac:dyDescent="0.15">
      <c r="B611" s="9" t="s">
        <v>619</v>
      </c>
      <c r="C611" s="4">
        <v>0.85</v>
      </c>
      <c r="F611" s="3" t="s">
        <v>1642</v>
      </c>
      <c r="G611" s="4">
        <v>1</v>
      </c>
    </row>
    <row r="612" spans="2:7" x14ac:dyDescent="0.15">
      <c r="B612" s="9" t="s">
        <v>620</v>
      </c>
      <c r="C612" s="4">
        <v>0.85</v>
      </c>
      <c r="F612" s="3" t="s">
        <v>1643</v>
      </c>
      <c r="G612" s="4">
        <v>1</v>
      </c>
    </row>
    <row r="613" spans="2:7" x14ac:dyDescent="0.15">
      <c r="B613" s="9" t="s">
        <v>621</v>
      </c>
      <c r="C613" s="4">
        <v>0.85</v>
      </c>
      <c r="F613" s="3" t="s">
        <v>1644</v>
      </c>
      <c r="G613" s="4">
        <v>1</v>
      </c>
    </row>
    <row r="614" spans="2:7" x14ac:dyDescent="0.15">
      <c r="B614" s="9" t="s">
        <v>622</v>
      </c>
      <c r="C614" s="4">
        <v>0.85</v>
      </c>
      <c r="F614" s="3" t="s">
        <v>1645</v>
      </c>
      <c r="G614" s="4">
        <v>1</v>
      </c>
    </row>
    <row r="615" spans="2:7" x14ac:dyDescent="0.15">
      <c r="B615" s="9" t="s">
        <v>623</v>
      </c>
      <c r="C615" s="4">
        <v>0.85</v>
      </c>
      <c r="F615" s="3" t="s">
        <v>1646</v>
      </c>
      <c r="G615" s="4">
        <v>1</v>
      </c>
    </row>
    <row r="616" spans="2:7" x14ac:dyDescent="0.15">
      <c r="B616" s="9" t="s">
        <v>624</v>
      </c>
      <c r="C616" s="4">
        <v>1.25</v>
      </c>
      <c r="F616" s="3" t="s">
        <v>1647</v>
      </c>
      <c r="G616" s="4">
        <v>1</v>
      </c>
    </row>
    <row r="617" spans="2:7" x14ac:dyDescent="0.15">
      <c r="B617" s="9" t="s">
        <v>625</v>
      </c>
      <c r="C617" s="4">
        <v>1.25</v>
      </c>
      <c r="F617" s="3" t="s">
        <v>1648</v>
      </c>
      <c r="G617" s="4">
        <v>1</v>
      </c>
    </row>
    <row r="618" spans="2:7" x14ac:dyDescent="0.15">
      <c r="B618" s="9" t="s">
        <v>626</v>
      </c>
      <c r="C618" s="4">
        <v>1.05</v>
      </c>
      <c r="F618" s="3" t="s">
        <v>1649</v>
      </c>
      <c r="G618" s="4">
        <v>1</v>
      </c>
    </row>
    <row r="619" spans="2:7" x14ac:dyDescent="0.15">
      <c r="B619" s="9" t="s">
        <v>627</v>
      </c>
      <c r="C619" s="4">
        <v>1.05</v>
      </c>
      <c r="F619" s="3" t="s">
        <v>1650</v>
      </c>
      <c r="G619" s="4">
        <v>1</v>
      </c>
    </row>
    <row r="620" spans="2:7" x14ac:dyDescent="0.15">
      <c r="B620" s="9" t="s">
        <v>628</v>
      </c>
      <c r="C620" s="4">
        <v>1.05</v>
      </c>
      <c r="F620" s="3" t="s">
        <v>1651</v>
      </c>
      <c r="G620" s="4">
        <v>1</v>
      </c>
    </row>
    <row r="621" spans="2:7" x14ac:dyDescent="0.15">
      <c r="B621" s="9" t="s">
        <v>629</v>
      </c>
      <c r="C621" s="4">
        <v>1.05</v>
      </c>
      <c r="F621" s="3" t="s">
        <v>1652</v>
      </c>
      <c r="G621" s="4">
        <v>1</v>
      </c>
    </row>
    <row r="622" spans="2:7" x14ac:dyDescent="0.15">
      <c r="B622" s="9" t="s">
        <v>630</v>
      </c>
      <c r="C622" s="4">
        <v>1.05</v>
      </c>
      <c r="F622" s="3" t="s">
        <v>1653</v>
      </c>
      <c r="G622" s="4">
        <v>1</v>
      </c>
    </row>
    <row r="623" spans="2:7" x14ac:dyDescent="0.15">
      <c r="B623" s="9" t="s">
        <v>631</v>
      </c>
      <c r="C623" s="4">
        <v>1.05</v>
      </c>
      <c r="F623" s="3" t="s">
        <v>1654</v>
      </c>
      <c r="G623" s="4">
        <v>1</v>
      </c>
    </row>
    <row r="624" spans="2:7" x14ac:dyDescent="0.15">
      <c r="B624" s="9" t="s">
        <v>632</v>
      </c>
      <c r="C624" s="4">
        <v>1.05</v>
      </c>
      <c r="F624" s="3" t="s">
        <v>1655</v>
      </c>
      <c r="G624" s="4">
        <v>1</v>
      </c>
    </row>
    <row r="625" spans="2:7" x14ac:dyDescent="0.15">
      <c r="B625" s="9" t="s">
        <v>633</v>
      </c>
      <c r="C625" s="4">
        <v>1.05</v>
      </c>
      <c r="F625" s="3" t="s">
        <v>1656</v>
      </c>
      <c r="G625" s="4">
        <v>1</v>
      </c>
    </row>
    <row r="626" spans="2:7" x14ac:dyDescent="0.15">
      <c r="B626" s="9" t="s">
        <v>634</v>
      </c>
      <c r="C626" s="4">
        <v>1</v>
      </c>
      <c r="F626" s="3" t="s">
        <v>1657</v>
      </c>
      <c r="G626" s="4">
        <v>1</v>
      </c>
    </row>
    <row r="627" spans="2:7" x14ac:dyDescent="0.15">
      <c r="B627" s="9" t="s">
        <v>635</v>
      </c>
      <c r="C627" s="4">
        <v>1</v>
      </c>
      <c r="F627" s="3" t="s">
        <v>1658</v>
      </c>
      <c r="G627" s="4">
        <v>1</v>
      </c>
    </row>
    <row r="628" spans="2:7" x14ac:dyDescent="0.15">
      <c r="B628" s="9" t="s">
        <v>636</v>
      </c>
      <c r="C628" s="4">
        <v>1</v>
      </c>
      <c r="F628" s="3" t="s">
        <v>1659</v>
      </c>
      <c r="G628" s="4">
        <v>1</v>
      </c>
    </row>
    <row r="629" spans="2:7" x14ac:dyDescent="0.15">
      <c r="B629" s="9" t="s">
        <v>637</v>
      </c>
      <c r="C629" s="4">
        <v>1</v>
      </c>
      <c r="F629" s="3" t="s">
        <v>1660</v>
      </c>
      <c r="G629" s="4">
        <v>1</v>
      </c>
    </row>
    <row r="630" spans="2:7" x14ac:dyDescent="0.15">
      <c r="B630" s="9" t="s">
        <v>638</v>
      </c>
      <c r="C630" s="4">
        <v>1</v>
      </c>
      <c r="F630" s="3" t="s">
        <v>1661</v>
      </c>
      <c r="G630" s="4">
        <v>1</v>
      </c>
    </row>
    <row r="631" spans="2:7" x14ac:dyDescent="0.15">
      <c r="B631" s="9" t="s">
        <v>639</v>
      </c>
      <c r="C631" s="4">
        <v>1</v>
      </c>
      <c r="F631" s="3" t="s">
        <v>1662</v>
      </c>
      <c r="G631" s="4">
        <v>1</v>
      </c>
    </row>
    <row r="632" spans="2:7" x14ac:dyDescent="0.15">
      <c r="B632" s="9" t="s">
        <v>640</v>
      </c>
      <c r="C632" s="4">
        <v>1</v>
      </c>
      <c r="F632" s="3" t="s">
        <v>1663</v>
      </c>
      <c r="G632" s="4">
        <v>1</v>
      </c>
    </row>
    <row r="633" spans="2:7" x14ac:dyDescent="0.15">
      <c r="B633" s="9" t="s">
        <v>641</v>
      </c>
      <c r="C633" s="4">
        <v>1</v>
      </c>
      <c r="F633" s="3" t="s">
        <v>1664</v>
      </c>
      <c r="G633" s="4">
        <v>1</v>
      </c>
    </row>
    <row r="634" spans="2:7" x14ac:dyDescent="0.15">
      <c r="B634" s="9" t="s">
        <v>642</v>
      </c>
      <c r="C634" s="4">
        <v>1</v>
      </c>
      <c r="F634" s="3" t="s">
        <v>1665</v>
      </c>
      <c r="G634" s="4">
        <v>1</v>
      </c>
    </row>
    <row r="635" spans="2:7" x14ac:dyDescent="0.15">
      <c r="B635" s="9" t="s">
        <v>643</v>
      </c>
      <c r="C635" s="4">
        <v>1</v>
      </c>
      <c r="F635" s="3" t="s">
        <v>1666</v>
      </c>
      <c r="G635" s="4">
        <v>1</v>
      </c>
    </row>
    <row r="636" spans="2:7" x14ac:dyDescent="0.15">
      <c r="B636" s="9" t="s">
        <v>644</v>
      </c>
      <c r="C636" s="4">
        <v>1.1000000000000001</v>
      </c>
      <c r="F636" s="3" t="s">
        <v>1667</v>
      </c>
      <c r="G636" s="4">
        <v>1</v>
      </c>
    </row>
    <row r="637" spans="2:7" x14ac:dyDescent="0.15">
      <c r="B637" s="9" t="s">
        <v>645</v>
      </c>
      <c r="C637" s="4">
        <v>1.1000000000000001</v>
      </c>
      <c r="F637" s="3" t="s">
        <v>1668</v>
      </c>
      <c r="G637" s="4">
        <v>1</v>
      </c>
    </row>
    <row r="638" spans="2:7" x14ac:dyDescent="0.15">
      <c r="B638" s="9" t="s">
        <v>646</v>
      </c>
      <c r="C638" s="4">
        <v>1.1000000000000001</v>
      </c>
      <c r="F638" s="3" t="s">
        <v>1669</v>
      </c>
      <c r="G638" s="4">
        <v>1</v>
      </c>
    </row>
    <row r="639" spans="2:7" x14ac:dyDescent="0.15">
      <c r="B639" s="9" t="s">
        <v>647</v>
      </c>
      <c r="C639" s="4">
        <v>1.1000000000000001</v>
      </c>
      <c r="F639" s="3" t="s">
        <v>1670</v>
      </c>
      <c r="G639" s="4">
        <v>1</v>
      </c>
    </row>
    <row r="640" spans="2:7" x14ac:dyDescent="0.15">
      <c r="B640" s="9" t="s">
        <v>648</v>
      </c>
      <c r="C640" s="4">
        <v>1.1000000000000001</v>
      </c>
      <c r="F640" s="3" t="s">
        <v>1671</v>
      </c>
      <c r="G640" s="4">
        <v>1</v>
      </c>
    </row>
    <row r="641" spans="2:7" x14ac:dyDescent="0.15">
      <c r="B641" s="9" t="s">
        <v>649</v>
      </c>
      <c r="C641" s="4">
        <v>1.1000000000000001</v>
      </c>
      <c r="F641" s="3" t="s">
        <v>1672</v>
      </c>
      <c r="G641" s="4">
        <v>1</v>
      </c>
    </row>
    <row r="642" spans="2:7" x14ac:dyDescent="0.15">
      <c r="B642" s="9" t="s">
        <v>650</v>
      </c>
      <c r="C642" s="4">
        <v>1.1000000000000001</v>
      </c>
      <c r="F642" s="3" t="s">
        <v>1673</v>
      </c>
      <c r="G642" s="4">
        <v>1</v>
      </c>
    </row>
    <row r="643" spans="2:7" x14ac:dyDescent="0.15">
      <c r="B643" s="9" t="s">
        <v>651</v>
      </c>
      <c r="C643" s="4">
        <v>1.1000000000000001</v>
      </c>
      <c r="F643" s="3" t="s">
        <v>1674</v>
      </c>
      <c r="G643" s="4">
        <v>1</v>
      </c>
    </row>
    <row r="644" spans="2:7" x14ac:dyDescent="0.15">
      <c r="B644" s="9" t="s">
        <v>652</v>
      </c>
      <c r="C644" s="4">
        <v>1.1000000000000001</v>
      </c>
      <c r="F644" s="3" t="s">
        <v>1675</v>
      </c>
      <c r="G644" s="4">
        <v>1</v>
      </c>
    </row>
    <row r="645" spans="2:7" x14ac:dyDescent="0.15">
      <c r="B645" s="9" t="s">
        <v>653</v>
      </c>
      <c r="C645" s="4">
        <v>1</v>
      </c>
      <c r="F645" s="3" t="s">
        <v>1676</v>
      </c>
      <c r="G645" s="4">
        <v>1</v>
      </c>
    </row>
    <row r="646" spans="2:7" x14ac:dyDescent="0.15">
      <c r="B646" s="9" t="s">
        <v>654</v>
      </c>
      <c r="C646" s="4">
        <v>1.1000000000000001</v>
      </c>
      <c r="F646" s="3" t="s">
        <v>1677</v>
      </c>
      <c r="G646" s="4">
        <v>1</v>
      </c>
    </row>
    <row r="647" spans="2:7" x14ac:dyDescent="0.15">
      <c r="B647" s="9" t="s">
        <v>655</v>
      </c>
      <c r="C647" s="4">
        <v>1</v>
      </c>
      <c r="F647" s="3" t="s">
        <v>1678</v>
      </c>
      <c r="G647" s="4">
        <v>1</v>
      </c>
    </row>
    <row r="648" spans="2:7" x14ac:dyDescent="0.15">
      <c r="B648" s="9" t="s">
        <v>656</v>
      </c>
      <c r="C648" s="4">
        <v>1</v>
      </c>
      <c r="F648" s="3" t="s">
        <v>1679</v>
      </c>
      <c r="G648" s="4">
        <v>1</v>
      </c>
    </row>
    <row r="649" spans="2:7" x14ac:dyDescent="0.15">
      <c r="B649" s="9" t="s">
        <v>657</v>
      </c>
      <c r="C649" s="4">
        <v>1.2</v>
      </c>
      <c r="F649" s="3" t="s">
        <v>1680</v>
      </c>
      <c r="G649" s="4">
        <v>1</v>
      </c>
    </row>
    <row r="650" spans="2:7" x14ac:dyDescent="0.15">
      <c r="B650" s="9" t="s">
        <v>658</v>
      </c>
      <c r="C650" s="4">
        <v>1</v>
      </c>
      <c r="F650" s="3" t="s">
        <v>1681</v>
      </c>
      <c r="G650" s="4">
        <v>1</v>
      </c>
    </row>
    <row r="651" spans="2:7" x14ac:dyDescent="0.15">
      <c r="B651" s="9" t="s">
        <v>659</v>
      </c>
      <c r="C651" s="4">
        <v>1</v>
      </c>
      <c r="F651" s="3" t="s">
        <v>1682</v>
      </c>
      <c r="G651" s="4">
        <v>1</v>
      </c>
    </row>
    <row r="652" spans="2:7" x14ac:dyDescent="0.15">
      <c r="B652" s="9" t="s">
        <v>660</v>
      </c>
      <c r="C652" s="4">
        <v>1</v>
      </c>
      <c r="F652" s="3" t="s">
        <v>1683</v>
      </c>
      <c r="G652" s="4">
        <v>1</v>
      </c>
    </row>
    <row r="653" spans="2:7" x14ac:dyDescent="0.15">
      <c r="B653" s="9" t="s">
        <v>661</v>
      </c>
      <c r="C653" s="4">
        <v>1</v>
      </c>
      <c r="F653" s="3" t="s">
        <v>1684</v>
      </c>
      <c r="G653" s="4">
        <v>1</v>
      </c>
    </row>
    <row r="654" spans="2:7" x14ac:dyDescent="0.15">
      <c r="B654" s="9" t="s">
        <v>662</v>
      </c>
      <c r="C654" s="4">
        <v>0.85</v>
      </c>
      <c r="F654" s="3" t="s">
        <v>1685</v>
      </c>
      <c r="G654" s="4">
        <v>1</v>
      </c>
    </row>
    <row r="655" spans="2:7" x14ac:dyDescent="0.15">
      <c r="B655" s="9" t="s">
        <v>663</v>
      </c>
      <c r="C655" s="4">
        <v>0.85</v>
      </c>
      <c r="F655" s="3" t="s">
        <v>1686</v>
      </c>
      <c r="G655" s="4">
        <v>1</v>
      </c>
    </row>
    <row r="656" spans="2:7" x14ac:dyDescent="0.15">
      <c r="B656" s="9" t="s">
        <v>664</v>
      </c>
      <c r="C656" s="4">
        <v>0.85</v>
      </c>
      <c r="F656" s="3" t="s">
        <v>1687</v>
      </c>
      <c r="G656" s="4">
        <v>1</v>
      </c>
    </row>
    <row r="657" spans="2:7" x14ac:dyDescent="0.15">
      <c r="B657" s="9" t="s">
        <v>665</v>
      </c>
      <c r="C657" s="4">
        <v>0.85</v>
      </c>
      <c r="F657" s="3" t="s">
        <v>1688</v>
      </c>
      <c r="G657" s="4">
        <v>1</v>
      </c>
    </row>
    <row r="658" spans="2:7" x14ac:dyDescent="0.15">
      <c r="B658" s="9" t="s">
        <v>666</v>
      </c>
      <c r="C658" s="4">
        <v>0.85</v>
      </c>
      <c r="F658" s="3" t="s">
        <v>1689</v>
      </c>
      <c r="G658" s="4">
        <v>1</v>
      </c>
    </row>
    <row r="659" spans="2:7" x14ac:dyDescent="0.15">
      <c r="B659" s="9" t="s">
        <v>667</v>
      </c>
      <c r="C659" s="4">
        <v>0.85</v>
      </c>
      <c r="F659" s="3" t="s">
        <v>1690</v>
      </c>
      <c r="G659" s="4">
        <v>1</v>
      </c>
    </row>
    <row r="660" spans="2:7" x14ac:dyDescent="0.15">
      <c r="B660" s="9" t="s">
        <v>668</v>
      </c>
      <c r="C660" s="4">
        <v>0.85</v>
      </c>
      <c r="F660" s="3" t="s">
        <v>1691</v>
      </c>
      <c r="G660" s="4">
        <v>1</v>
      </c>
    </row>
    <row r="661" spans="2:7" x14ac:dyDescent="0.15">
      <c r="B661" s="9" t="s">
        <v>669</v>
      </c>
      <c r="C661" s="4">
        <v>0.85</v>
      </c>
      <c r="F661" s="3" t="s">
        <v>1692</v>
      </c>
      <c r="G661" s="4">
        <v>1</v>
      </c>
    </row>
    <row r="662" spans="2:7" x14ac:dyDescent="0.15">
      <c r="B662" s="9" t="s">
        <v>670</v>
      </c>
      <c r="C662" s="4">
        <v>0.9</v>
      </c>
      <c r="F662" s="3" t="s">
        <v>1693</v>
      </c>
      <c r="G662" s="4">
        <v>1</v>
      </c>
    </row>
    <row r="663" spans="2:7" x14ac:dyDescent="0.15">
      <c r="B663" s="9" t="s">
        <v>671</v>
      </c>
      <c r="C663" s="4">
        <v>0.9</v>
      </c>
      <c r="F663" s="3" t="s">
        <v>1694</v>
      </c>
      <c r="G663" s="4">
        <v>1</v>
      </c>
    </row>
    <row r="664" spans="2:7" x14ac:dyDescent="0.15">
      <c r="B664" s="9" t="s">
        <v>672</v>
      </c>
      <c r="C664" s="4">
        <v>0.9</v>
      </c>
      <c r="F664" s="3" t="s">
        <v>1695</v>
      </c>
      <c r="G664" s="4">
        <v>1</v>
      </c>
    </row>
    <row r="665" spans="2:7" x14ac:dyDescent="0.15">
      <c r="B665" s="9" t="s">
        <v>673</v>
      </c>
      <c r="C665" s="4">
        <v>0.9</v>
      </c>
      <c r="F665" s="3" t="s">
        <v>1696</v>
      </c>
      <c r="G665" s="4">
        <v>1</v>
      </c>
    </row>
    <row r="666" spans="2:7" x14ac:dyDescent="0.15">
      <c r="B666" s="9" t="s">
        <v>674</v>
      </c>
      <c r="C666" s="4">
        <v>0.9</v>
      </c>
      <c r="F666" s="3" t="s">
        <v>1697</v>
      </c>
      <c r="G666" s="4">
        <v>1</v>
      </c>
    </row>
    <row r="667" spans="2:7" x14ac:dyDescent="0.15">
      <c r="B667" s="9" t="s">
        <v>675</v>
      </c>
      <c r="C667" s="4">
        <v>0.9</v>
      </c>
      <c r="F667" s="3" t="s">
        <v>1698</v>
      </c>
      <c r="G667" s="4">
        <v>1</v>
      </c>
    </row>
    <row r="668" spans="2:7" x14ac:dyDescent="0.15">
      <c r="B668" s="9" t="s">
        <v>676</v>
      </c>
      <c r="C668" s="4">
        <v>0.9</v>
      </c>
      <c r="F668" s="3" t="s">
        <v>1699</v>
      </c>
      <c r="G668" s="4">
        <v>1</v>
      </c>
    </row>
    <row r="669" spans="2:7" x14ac:dyDescent="0.15">
      <c r="B669" s="9" t="s">
        <v>677</v>
      </c>
      <c r="C669" s="4">
        <v>1.1499999999999999</v>
      </c>
      <c r="F669" s="3" t="s">
        <v>1700</v>
      </c>
      <c r="G669" s="4">
        <v>1</v>
      </c>
    </row>
    <row r="670" spans="2:7" x14ac:dyDescent="0.15">
      <c r="B670" s="9" t="s">
        <v>678</v>
      </c>
      <c r="C670" s="4">
        <v>1.1499999999999999</v>
      </c>
      <c r="F670" s="3" t="s">
        <v>1701</v>
      </c>
      <c r="G670" s="4">
        <v>1</v>
      </c>
    </row>
    <row r="671" spans="2:7" x14ac:dyDescent="0.15">
      <c r="B671" s="9" t="s">
        <v>679</v>
      </c>
      <c r="C671" s="4">
        <v>1.1499999999999999</v>
      </c>
      <c r="F671" s="3" t="s">
        <v>1702</v>
      </c>
      <c r="G671" s="4">
        <v>1</v>
      </c>
    </row>
    <row r="672" spans="2:7" x14ac:dyDescent="0.15">
      <c r="B672" s="9" t="s">
        <v>680</v>
      </c>
      <c r="C672" s="4">
        <v>1.1499999999999999</v>
      </c>
      <c r="F672" s="3" t="s">
        <v>1703</v>
      </c>
      <c r="G672" s="4">
        <v>1</v>
      </c>
    </row>
    <row r="673" spans="2:7" x14ac:dyDescent="0.15">
      <c r="B673" s="9" t="s">
        <v>681</v>
      </c>
      <c r="C673" s="4">
        <v>1.1499999999999999</v>
      </c>
      <c r="F673" s="3" t="s">
        <v>1704</v>
      </c>
      <c r="G673" s="4">
        <v>1</v>
      </c>
    </row>
    <row r="674" spans="2:7" x14ac:dyDescent="0.15">
      <c r="B674" s="9" t="s">
        <v>682</v>
      </c>
      <c r="C674" s="4">
        <v>1.1499999999999999</v>
      </c>
      <c r="F674" s="3" t="s">
        <v>1705</v>
      </c>
      <c r="G674" s="4">
        <v>1</v>
      </c>
    </row>
    <row r="675" spans="2:7" x14ac:dyDescent="0.15">
      <c r="B675" s="9" t="s">
        <v>683</v>
      </c>
      <c r="C675" s="4">
        <v>1.1499999999999999</v>
      </c>
      <c r="F675" s="3" t="s">
        <v>1706</v>
      </c>
      <c r="G675" s="4">
        <v>1</v>
      </c>
    </row>
    <row r="676" spans="2:7" x14ac:dyDescent="0.15">
      <c r="B676" s="9" t="s">
        <v>684</v>
      </c>
      <c r="C676" s="4">
        <v>1.1499999999999999</v>
      </c>
      <c r="F676" s="3" t="s">
        <v>1707</v>
      </c>
      <c r="G676" s="4">
        <v>1</v>
      </c>
    </row>
    <row r="677" spans="2:7" x14ac:dyDescent="0.15">
      <c r="B677" s="9" t="s">
        <v>685</v>
      </c>
      <c r="C677" s="4">
        <v>1.1499999999999999</v>
      </c>
      <c r="F677" s="3" t="s">
        <v>1708</v>
      </c>
      <c r="G677" s="4">
        <v>1</v>
      </c>
    </row>
    <row r="678" spans="2:7" x14ac:dyDescent="0.15">
      <c r="B678" s="9" t="s">
        <v>686</v>
      </c>
      <c r="C678" s="4">
        <v>1.1499999999999999</v>
      </c>
      <c r="F678" s="3" t="s">
        <v>1709</v>
      </c>
      <c r="G678" s="4">
        <v>1</v>
      </c>
    </row>
    <row r="679" spans="2:7" x14ac:dyDescent="0.15">
      <c r="B679" s="9" t="s">
        <v>687</v>
      </c>
      <c r="C679" s="4">
        <v>1.1499999999999999</v>
      </c>
      <c r="F679" s="3" t="s">
        <v>1710</v>
      </c>
      <c r="G679" s="4">
        <v>1</v>
      </c>
    </row>
    <row r="680" spans="2:7" x14ac:dyDescent="0.15">
      <c r="B680" s="9" t="s">
        <v>688</v>
      </c>
      <c r="C680" s="4">
        <v>1.1499999999999999</v>
      </c>
      <c r="F680" s="3" t="s">
        <v>1711</v>
      </c>
      <c r="G680" s="4">
        <v>1</v>
      </c>
    </row>
    <row r="681" spans="2:7" x14ac:dyDescent="0.15">
      <c r="B681" s="9" t="s">
        <v>689</v>
      </c>
      <c r="C681" s="4">
        <v>1.1499999999999999</v>
      </c>
      <c r="F681" s="3" t="s">
        <v>1712</v>
      </c>
      <c r="G681" s="4">
        <v>1</v>
      </c>
    </row>
    <row r="682" spans="2:7" x14ac:dyDescent="0.15">
      <c r="B682" s="9" t="s">
        <v>690</v>
      </c>
      <c r="C682" s="4">
        <v>1.1499999999999999</v>
      </c>
      <c r="F682" s="3" t="s">
        <v>1713</v>
      </c>
      <c r="G682" s="4">
        <v>1</v>
      </c>
    </row>
    <row r="683" spans="2:7" x14ac:dyDescent="0.15">
      <c r="B683" s="9" t="s">
        <v>691</v>
      </c>
      <c r="C683" s="4">
        <v>0.85</v>
      </c>
      <c r="F683" s="3" t="s">
        <v>1714</v>
      </c>
      <c r="G683" s="4">
        <v>1</v>
      </c>
    </row>
    <row r="684" spans="2:7" x14ac:dyDescent="0.15">
      <c r="B684" s="9" t="s">
        <v>692</v>
      </c>
      <c r="C684" s="4">
        <v>0.85</v>
      </c>
      <c r="F684" s="3" t="s">
        <v>1715</v>
      </c>
      <c r="G684" s="4">
        <v>1</v>
      </c>
    </row>
    <row r="685" spans="2:7" x14ac:dyDescent="0.15">
      <c r="B685" s="9" t="s">
        <v>693</v>
      </c>
      <c r="C685" s="4">
        <v>0.85</v>
      </c>
      <c r="F685" s="3" t="s">
        <v>1716</v>
      </c>
      <c r="G685" s="4">
        <v>1</v>
      </c>
    </row>
    <row r="686" spans="2:7" x14ac:dyDescent="0.15">
      <c r="B686" s="9" t="s">
        <v>694</v>
      </c>
      <c r="C686" s="4">
        <v>0.85</v>
      </c>
      <c r="F686" s="3" t="s">
        <v>1717</v>
      </c>
      <c r="G686" s="4">
        <v>1</v>
      </c>
    </row>
    <row r="687" spans="2:7" x14ac:dyDescent="0.15">
      <c r="B687" s="9" t="s">
        <v>695</v>
      </c>
      <c r="C687" s="4">
        <v>0.85</v>
      </c>
      <c r="F687" s="3" t="s">
        <v>1718</v>
      </c>
      <c r="G687" s="4">
        <v>1</v>
      </c>
    </row>
    <row r="688" spans="2:7" x14ac:dyDescent="0.15">
      <c r="B688" s="9" t="s">
        <v>696</v>
      </c>
      <c r="C688" s="4">
        <v>0.85</v>
      </c>
      <c r="F688" s="3" t="s">
        <v>1719</v>
      </c>
      <c r="G688" s="4">
        <v>1</v>
      </c>
    </row>
    <row r="689" spans="2:7" x14ac:dyDescent="0.15">
      <c r="B689" s="9" t="s">
        <v>697</v>
      </c>
      <c r="C689" s="4">
        <v>0.85</v>
      </c>
      <c r="F689" s="3" t="s">
        <v>1720</v>
      </c>
      <c r="G689" s="4">
        <v>1</v>
      </c>
    </row>
    <row r="690" spans="2:7" x14ac:dyDescent="0.15">
      <c r="B690" s="9" t="s">
        <v>698</v>
      </c>
      <c r="C690" s="4">
        <v>0.85</v>
      </c>
      <c r="F690" s="3" t="s">
        <v>1721</v>
      </c>
      <c r="G690" s="4">
        <v>1</v>
      </c>
    </row>
    <row r="691" spans="2:7" x14ac:dyDescent="0.15">
      <c r="B691" s="9" t="s">
        <v>699</v>
      </c>
      <c r="C691" s="4">
        <v>0.85</v>
      </c>
      <c r="F691" s="3" t="s">
        <v>1722</v>
      </c>
      <c r="G691" s="4">
        <v>1</v>
      </c>
    </row>
    <row r="692" spans="2:7" x14ac:dyDescent="0.15">
      <c r="B692" s="9" t="s">
        <v>700</v>
      </c>
      <c r="C692" s="4">
        <v>0.85</v>
      </c>
      <c r="F692" s="3" t="s">
        <v>1723</v>
      </c>
      <c r="G692" s="4">
        <v>1</v>
      </c>
    </row>
    <row r="693" spans="2:7" x14ac:dyDescent="0.15">
      <c r="B693" s="9" t="s">
        <v>701</v>
      </c>
      <c r="C693" s="4">
        <v>0.85</v>
      </c>
      <c r="F693" s="3" t="s">
        <v>1724</v>
      </c>
      <c r="G693" s="4">
        <v>1</v>
      </c>
    </row>
    <row r="694" spans="2:7" x14ac:dyDescent="0.15">
      <c r="B694" s="9" t="s">
        <v>702</v>
      </c>
      <c r="C694" s="4">
        <v>0.85</v>
      </c>
      <c r="F694" s="3" t="s">
        <v>1725</v>
      </c>
      <c r="G694" s="4">
        <v>1</v>
      </c>
    </row>
    <row r="695" spans="2:7" x14ac:dyDescent="0.15">
      <c r="B695" s="9" t="s">
        <v>703</v>
      </c>
      <c r="C695" s="4">
        <v>0.85</v>
      </c>
      <c r="F695" s="3" t="s">
        <v>1726</v>
      </c>
      <c r="G695" s="4">
        <v>1</v>
      </c>
    </row>
    <row r="696" spans="2:7" x14ac:dyDescent="0.15">
      <c r="B696" s="9" t="s">
        <v>704</v>
      </c>
      <c r="C696" s="4">
        <v>0.85</v>
      </c>
      <c r="F696" s="3" t="s">
        <v>1727</v>
      </c>
      <c r="G696" s="4">
        <v>1</v>
      </c>
    </row>
    <row r="697" spans="2:7" x14ac:dyDescent="0.15">
      <c r="B697" s="9" t="s">
        <v>705</v>
      </c>
      <c r="C697" s="4">
        <v>0.85</v>
      </c>
      <c r="F697" s="3" t="s">
        <v>1728</v>
      </c>
      <c r="G697" s="4">
        <v>1</v>
      </c>
    </row>
    <row r="698" spans="2:7" x14ac:dyDescent="0.15">
      <c r="B698" s="9" t="s">
        <v>706</v>
      </c>
      <c r="C698" s="4">
        <v>0.85</v>
      </c>
      <c r="F698" s="3" t="s">
        <v>1729</v>
      </c>
      <c r="G698" s="4">
        <v>1</v>
      </c>
    </row>
    <row r="699" spans="2:7" x14ac:dyDescent="0.15">
      <c r="B699" s="9" t="s">
        <v>707</v>
      </c>
      <c r="C699" s="4">
        <v>0.85</v>
      </c>
      <c r="F699" s="3" t="s">
        <v>1730</v>
      </c>
      <c r="G699" s="4">
        <v>1</v>
      </c>
    </row>
    <row r="700" spans="2:7" x14ac:dyDescent="0.15">
      <c r="B700" s="9" t="s">
        <v>708</v>
      </c>
      <c r="C700" s="4">
        <v>0.85</v>
      </c>
      <c r="F700" s="3" t="s">
        <v>1731</v>
      </c>
      <c r="G700" s="4">
        <v>1</v>
      </c>
    </row>
    <row r="701" spans="2:7" x14ac:dyDescent="0.15">
      <c r="B701" s="9" t="s">
        <v>709</v>
      </c>
      <c r="C701" s="4">
        <v>0.85</v>
      </c>
      <c r="F701" s="3" t="s">
        <v>1732</v>
      </c>
      <c r="G701" s="4">
        <v>1</v>
      </c>
    </row>
    <row r="702" spans="2:7" x14ac:dyDescent="0.15">
      <c r="B702" s="9" t="s">
        <v>710</v>
      </c>
      <c r="C702" s="4">
        <v>0.85</v>
      </c>
      <c r="F702" s="3" t="s">
        <v>1733</v>
      </c>
      <c r="G702" s="4">
        <v>1</v>
      </c>
    </row>
    <row r="703" spans="2:7" x14ac:dyDescent="0.15">
      <c r="B703" s="9" t="s">
        <v>711</v>
      </c>
      <c r="C703" s="4">
        <v>0.85</v>
      </c>
      <c r="F703" s="3" t="s">
        <v>1734</v>
      </c>
      <c r="G703" s="4">
        <v>1</v>
      </c>
    </row>
    <row r="704" spans="2:7" x14ac:dyDescent="0.15">
      <c r="B704" s="9" t="s">
        <v>712</v>
      </c>
      <c r="C704" s="4">
        <v>0.85</v>
      </c>
      <c r="F704" s="3" t="s">
        <v>1735</v>
      </c>
      <c r="G704" s="4">
        <v>1</v>
      </c>
    </row>
    <row r="705" spans="2:7" x14ac:dyDescent="0.15">
      <c r="B705" s="9" t="s">
        <v>713</v>
      </c>
      <c r="C705" s="4">
        <v>0.85</v>
      </c>
      <c r="F705" s="3" t="s">
        <v>1736</v>
      </c>
      <c r="G705" s="4">
        <v>1</v>
      </c>
    </row>
    <row r="706" spans="2:7" x14ac:dyDescent="0.15">
      <c r="B706" s="9" t="s">
        <v>714</v>
      </c>
      <c r="C706" s="4">
        <v>0.85</v>
      </c>
      <c r="F706" s="3" t="s">
        <v>1737</v>
      </c>
      <c r="G706" s="4">
        <v>1</v>
      </c>
    </row>
    <row r="707" spans="2:7" x14ac:dyDescent="0.15">
      <c r="B707" s="9" t="s">
        <v>715</v>
      </c>
      <c r="C707" s="4">
        <v>0.85</v>
      </c>
      <c r="F707" s="3" t="s">
        <v>1738</v>
      </c>
      <c r="G707" s="4">
        <v>1</v>
      </c>
    </row>
    <row r="708" spans="2:7" x14ac:dyDescent="0.15">
      <c r="B708" s="9" t="s">
        <v>716</v>
      </c>
      <c r="C708" s="4">
        <v>0.85</v>
      </c>
      <c r="F708" s="3" t="s">
        <v>1739</v>
      </c>
      <c r="G708" s="4">
        <v>1</v>
      </c>
    </row>
    <row r="709" spans="2:7" x14ac:dyDescent="0.15">
      <c r="B709" s="9" t="s">
        <v>717</v>
      </c>
      <c r="C709" s="4">
        <v>0.85</v>
      </c>
      <c r="F709" s="3" t="s">
        <v>1740</v>
      </c>
      <c r="G709" s="4">
        <v>1</v>
      </c>
    </row>
    <row r="710" spans="2:7" x14ac:dyDescent="0.15">
      <c r="B710" s="9" t="s">
        <v>718</v>
      </c>
      <c r="C710" s="4">
        <v>0.85</v>
      </c>
      <c r="F710" s="3" t="s">
        <v>1741</v>
      </c>
      <c r="G710" s="4">
        <v>1</v>
      </c>
    </row>
    <row r="711" spans="2:7" x14ac:dyDescent="0.15">
      <c r="B711" s="9" t="s">
        <v>719</v>
      </c>
      <c r="C711" s="4">
        <v>0.85</v>
      </c>
      <c r="F711" s="3" t="s">
        <v>1742</v>
      </c>
      <c r="G711" s="4">
        <v>1</v>
      </c>
    </row>
    <row r="712" spans="2:7" x14ac:dyDescent="0.15">
      <c r="B712" s="9" t="s">
        <v>720</v>
      </c>
      <c r="C712" s="4">
        <v>0.85</v>
      </c>
      <c r="F712" s="3" t="s">
        <v>1743</v>
      </c>
      <c r="G712" s="4">
        <v>1</v>
      </c>
    </row>
    <row r="713" spans="2:7" x14ac:dyDescent="0.15">
      <c r="B713" s="9" t="s">
        <v>721</v>
      </c>
      <c r="C713" s="4">
        <v>0.85</v>
      </c>
      <c r="F713" s="3" t="s">
        <v>1744</v>
      </c>
      <c r="G713" s="4">
        <v>1</v>
      </c>
    </row>
    <row r="714" spans="2:7" x14ac:dyDescent="0.15">
      <c r="B714" s="9" t="s">
        <v>722</v>
      </c>
      <c r="C714" s="4">
        <v>0.85</v>
      </c>
      <c r="F714" s="3" t="s">
        <v>1745</v>
      </c>
      <c r="G714" s="4">
        <v>1</v>
      </c>
    </row>
    <row r="715" spans="2:7" x14ac:dyDescent="0.15">
      <c r="B715" s="9" t="s">
        <v>723</v>
      </c>
      <c r="C715" s="4">
        <v>0.85</v>
      </c>
      <c r="F715" s="3" t="s">
        <v>1746</v>
      </c>
      <c r="G715" s="4">
        <v>1</v>
      </c>
    </row>
    <row r="716" spans="2:7" x14ac:dyDescent="0.15">
      <c r="B716" s="9" t="s">
        <v>724</v>
      </c>
      <c r="C716" s="4">
        <v>0.85</v>
      </c>
      <c r="F716" s="3" t="s">
        <v>1747</v>
      </c>
      <c r="G716" s="4">
        <v>1</v>
      </c>
    </row>
    <row r="717" spans="2:7" x14ac:dyDescent="0.15">
      <c r="B717" s="9" t="s">
        <v>725</v>
      </c>
      <c r="C717" s="4">
        <v>0.85</v>
      </c>
      <c r="F717" s="3" t="s">
        <v>1748</v>
      </c>
      <c r="G717" s="4">
        <v>1</v>
      </c>
    </row>
    <row r="718" spans="2:7" x14ac:dyDescent="0.15">
      <c r="B718" s="9" t="s">
        <v>726</v>
      </c>
      <c r="C718" s="4">
        <v>0.85</v>
      </c>
      <c r="F718" s="3" t="s">
        <v>1749</v>
      </c>
      <c r="G718" s="4">
        <v>1</v>
      </c>
    </row>
    <row r="719" spans="2:7" x14ac:dyDescent="0.15">
      <c r="B719" s="9" t="s">
        <v>727</v>
      </c>
      <c r="C719" s="4">
        <v>0.85</v>
      </c>
      <c r="F719" s="3" t="s">
        <v>1750</v>
      </c>
      <c r="G719" s="4">
        <v>1</v>
      </c>
    </row>
    <row r="720" spans="2:7" x14ac:dyDescent="0.15">
      <c r="B720" s="9" t="s">
        <v>728</v>
      </c>
      <c r="C720" s="4">
        <v>0.85</v>
      </c>
      <c r="F720" s="3" t="s">
        <v>1751</v>
      </c>
      <c r="G720" s="4">
        <v>1</v>
      </c>
    </row>
    <row r="721" spans="2:7" x14ac:dyDescent="0.15">
      <c r="B721" s="9" t="s">
        <v>729</v>
      </c>
      <c r="C721" s="4">
        <v>0.85</v>
      </c>
      <c r="F721" s="3" t="s">
        <v>1752</v>
      </c>
      <c r="G721" s="4">
        <v>1</v>
      </c>
    </row>
    <row r="722" spans="2:7" x14ac:dyDescent="0.15">
      <c r="B722" s="9" t="s">
        <v>730</v>
      </c>
      <c r="C722" s="4">
        <v>0.85</v>
      </c>
      <c r="F722" s="3" t="s">
        <v>1753</v>
      </c>
      <c r="G722" s="4">
        <v>1</v>
      </c>
    </row>
    <row r="723" spans="2:7" x14ac:dyDescent="0.15">
      <c r="B723" s="9" t="s">
        <v>731</v>
      </c>
      <c r="C723" s="4">
        <v>0.85</v>
      </c>
      <c r="F723" s="3" t="s">
        <v>1754</v>
      </c>
      <c r="G723" s="4">
        <v>1</v>
      </c>
    </row>
    <row r="724" spans="2:7" x14ac:dyDescent="0.15">
      <c r="B724" s="9" t="s">
        <v>732</v>
      </c>
      <c r="C724" s="4">
        <v>0.85</v>
      </c>
      <c r="F724" s="3" t="s">
        <v>1755</v>
      </c>
      <c r="G724" s="4">
        <v>1</v>
      </c>
    </row>
    <row r="725" spans="2:7" x14ac:dyDescent="0.15">
      <c r="B725" s="9" t="s">
        <v>733</v>
      </c>
      <c r="C725" s="4">
        <v>0.85</v>
      </c>
      <c r="F725" s="3" t="s">
        <v>1756</v>
      </c>
      <c r="G725" s="4">
        <v>1</v>
      </c>
    </row>
    <row r="726" spans="2:7" x14ac:dyDescent="0.15">
      <c r="B726" s="9" t="s">
        <v>734</v>
      </c>
      <c r="C726" s="4">
        <v>0.85</v>
      </c>
      <c r="F726" s="3" t="s">
        <v>1757</v>
      </c>
      <c r="G726" s="4">
        <v>1</v>
      </c>
    </row>
    <row r="727" spans="2:7" x14ac:dyDescent="0.15">
      <c r="B727" s="9" t="s">
        <v>735</v>
      </c>
      <c r="C727" s="4">
        <v>0.85</v>
      </c>
      <c r="F727" s="3" t="s">
        <v>1758</v>
      </c>
      <c r="G727" s="4">
        <v>1</v>
      </c>
    </row>
    <row r="728" spans="2:7" x14ac:dyDescent="0.15">
      <c r="B728" s="9" t="s">
        <v>736</v>
      </c>
      <c r="C728" s="4">
        <v>0.85</v>
      </c>
      <c r="F728" s="3" t="s">
        <v>1759</v>
      </c>
      <c r="G728" s="4">
        <v>1</v>
      </c>
    </row>
    <row r="729" spans="2:7" x14ac:dyDescent="0.15">
      <c r="B729" s="9" t="s">
        <v>737</v>
      </c>
      <c r="C729" s="4">
        <v>0.85</v>
      </c>
      <c r="F729" s="3" t="s">
        <v>1760</v>
      </c>
      <c r="G729" s="4">
        <v>1</v>
      </c>
    </row>
    <row r="730" spans="2:7" x14ac:dyDescent="0.15">
      <c r="B730" s="9" t="s">
        <v>738</v>
      </c>
      <c r="C730" s="4">
        <v>0.85</v>
      </c>
      <c r="F730" s="3" t="s">
        <v>1761</v>
      </c>
      <c r="G730" s="4">
        <v>1</v>
      </c>
    </row>
    <row r="731" spans="2:7" x14ac:dyDescent="0.15">
      <c r="B731" s="9" t="s">
        <v>739</v>
      </c>
      <c r="C731" s="4">
        <v>0.85</v>
      </c>
      <c r="F731" s="3" t="s">
        <v>1762</v>
      </c>
      <c r="G731" s="4">
        <v>1</v>
      </c>
    </row>
    <row r="732" spans="2:7" x14ac:dyDescent="0.15">
      <c r="B732" s="9" t="s">
        <v>740</v>
      </c>
      <c r="C732" s="4">
        <v>0.85</v>
      </c>
      <c r="F732" s="3" t="s">
        <v>1763</v>
      </c>
      <c r="G732" s="4">
        <v>1</v>
      </c>
    </row>
    <row r="733" spans="2:7" x14ac:dyDescent="0.15">
      <c r="B733" s="9" t="s">
        <v>741</v>
      </c>
      <c r="C733" s="4">
        <v>0.85</v>
      </c>
      <c r="F733" s="3" t="s">
        <v>1764</v>
      </c>
      <c r="G733" s="4">
        <v>1</v>
      </c>
    </row>
    <row r="734" spans="2:7" x14ac:dyDescent="0.15">
      <c r="B734" s="9" t="s">
        <v>742</v>
      </c>
      <c r="C734" s="4">
        <v>0.85</v>
      </c>
      <c r="F734" s="3" t="s">
        <v>1765</v>
      </c>
      <c r="G734" s="4">
        <v>1</v>
      </c>
    </row>
    <row r="735" spans="2:7" x14ac:dyDescent="0.15">
      <c r="B735" s="9" t="s">
        <v>743</v>
      </c>
      <c r="C735" s="4">
        <v>0.85</v>
      </c>
      <c r="F735" s="3" t="s">
        <v>1766</v>
      </c>
      <c r="G735" s="4">
        <v>1</v>
      </c>
    </row>
    <row r="736" spans="2:7" x14ac:dyDescent="0.15">
      <c r="B736" s="9" t="s">
        <v>744</v>
      </c>
      <c r="C736" s="4">
        <v>0.85</v>
      </c>
      <c r="F736" s="3" t="s">
        <v>1767</v>
      </c>
      <c r="G736" s="4">
        <v>1</v>
      </c>
    </row>
    <row r="737" spans="2:7" x14ac:dyDescent="0.15">
      <c r="B737" s="9" t="s">
        <v>745</v>
      </c>
      <c r="C737" s="4">
        <v>0.85</v>
      </c>
      <c r="F737" s="3" t="s">
        <v>1768</v>
      </c>
      <c r="G737" s="4">
        <v>1</v>
      </c>
    </row>
    <row r="738" spans="2:7" x14ac:dyDescent="0.15">
      <c r="B738" s="9" t="s">
        <v>746</v>
      </c>
      <c r="C738" s="4">
        <v>0.85</v>
      </c>
      <c r="F738" s="3" t="s">
        <v>1769</v>
      </c>
      <c r="G738" s="4">
        <v>1</v>
      </c>
    </row>
    <row r="739" spans="2:7" x14ac:dyDescent="0.15">
      <c r="B739" s="9" t="s">
        <v>747</v>
      </c>
      <c r="C739" s="4">
        <v>0.85</v>
      </c>
      <c r="F739" s="3" t="s">
        <v>1770</v>
      </c>
      <c r="G739" s="4">
        <v>1</v>
      </c>
    </row>
    <row r="740" spans="2:7" x14ac:dyDescent="0.15">
      <c r="B740" s="9" t="s">
        <v>748</v>
      </c>
      <c r="C740" s="4">
        <v>0.85</v>
      </c>
      <c r="F740" s="3" t="s">
        <v>1771</v>
      </c>
      <c r="G740" s="4">
        <v>1</v>
      </c>
    </row>
    <row r="741" spans="2:7" x14ac:dyDescent="0.15">
      <c r="B741" s="9" t="s">
        <v>749</v>
      </c>
      <c r="C741" s="4">
        <v>0.85</v>
      </c>
      <c r="F741" s="3" t="s">
        <v>1772</v>
      </c>
      <c r="G741" s="4">
        <v>1</v>
      </c>
    </row>
    <row r="742" spans="2:7" x14ac:dyDescent="0.15">
      <c r="B742" s="9" t="s">
        <v>750</v>
      </c>
      <c r="C742" s="4">
        <v>0.85</v>
      </c>
      <c r="F742" s="3" t="s">
        <v>1773</v>
      </c>
      <c r="G742" s="4">
        <v>1</v>
      </c>
    </row>
    <row r="743" spans="2:7" x14ac:dyDescent="0.15">
      <c r="B743" s="9" t="s">
        <v>751</v>
      </c>
      <c r="C743" s="4">
        <v>0.85</v>
      </c>
      <c r="F743" s="3" t="s">
        <v>1774</v>
      </c>
      <c r="G743" s="4">
        <v>1</v>
      </c>
    </row>
    <row r="744" spans="2:7" x14ac:dyDescent="0.15">
      <c r="B744" s="9" t="s">
        <v>752</v>
      </c>
      <c r="C744" s="4">
        <v>0.85</v>
      </c>
      <c r="F744" s="3" t="s">
        <v>1775</v>
      </c>
      <c r="G744" s="4">
        <v>1</v>
      </c>
    </row>
    <row r="745" spans="2:7" x14ac:dyDescent="0.15">
      <c r="B745" s="9" t="s">
        <v>753</v>
      </c>
      <c r="C745" s="4">
        <v>0.85</v>
      </c>
      <c r="F745" s="3" t="s">
        <v>1776</v>
      </c>
      <c r="G745" s="4">
        <v>1</v>
      </c>
    </row>
    <row r="746" spans="2:7" x14ac:dyDescent="0.15">
      <c r="B746" s="9" t="s">
        <v>754</v>
      </c>
      <c r="C746" s="4">
        <v>0.85</v>
      </c>
      <c r="F746" s="3" t="s">
        <v>1777</v>
      </c>
      <c r="G746" s="4">
        <v>1</v>
      </c>
    </row>
    <row r="747" spans="2:7" x14ac:dyDescent="0.15">
      <c r="B747" s="9" t="s">
        <v>755</v>
      </c>
      <c r="C747" s="4">
        <v>0.85</v>
      </c>
      <c r="F747" s="3" t="s">
        <v>1778</v>
      </c>
      <c r="G747" s="4">
        <v>1</v>
      </c>
    </row>
    <row r="748" spans="2:7" x14ac:dyDescent="0.15">
      <c r="B748" s="9" t="s">
        <v>756</v>
      </c>
      <c r="C748" s="4">
        <v>0.85</v>
      </c>
      <c r="F748" s="3" t="s">
        <v>1779</v>
      </c>
      <c r="G748" s="4">
        <v>1</v>
      </c>
    </row>
    <row r="749" spans="2:7" x14ac:dyDescent="0.15">
      <c r="B749" s="9" t="s">
        <v>757</v>
      </c>
      <c r="C749" s="4">
        <v>0.85</v>
      </c>
      <c r="F749" s="3" t="s">
        <v>1780</v>
      </c>
      <c r="G749" s="4">
        <v>1</v>
      </c>
    </row>
    <row r="750" spans="2:7" x14ac:dyDescent="0.15">
      <c r="B750" s="9" t="s">
        <v>758</v>
      </c>
      <c r="C750" s="4">
        <v>0.85</v>
      </c>
      <c r="F750" s="3" t="s">
        <v>1781</v>
      </c>
      <c r="G750" s="4">
        <v>1</v>
      </c>
    </row>
    <row r="751" spans="2:7" x14ac:dyDescent="0.15">
      <c r="B751" s="9" t="s">
        <v>759</v>
      </c>
      <c r="C751" s="4">
        <v>0.85</v>
      </c>
      <c r="F751" s="3" t="s">
        <v>1782</v>
      </c>
      <c r="G751" s="4">
        <v>1</v>
      </c>
    </row>
    <row r="752" spans="2:7" x14ac:dyDescent="0.15">
      <c r="B752" s="9" t="s">
        <v>760</v>
      </c>
      <c r="C752" s="4">
        <v>0.8</v>
      </c>
      <c r="F752" s="3" t="s">
        <v>1783</v>
      </c>
      <c r="G752" s="4">
        <v>1</v>
      </c>
    </row>
    <row r="753" spans="2:7" x14ac:dyDescent="0.15">
      <c r="B753" s="9" t="s">
        <v>761</v>
      </c>
      <c r="C753" s="4">
        <v>0.8</v>
      </c>
      <c r="F753" s="3" t="s">
        <v>1784</v>
      </c>
      <c r="G753" s="4">
        <v>1</v>
      </c>
    </row>
    <row r="754" spans="2:7" x14ac:dyDescent="0.15">
      <c r="B754" s="9" t="s">
        <v>762</v>
      </c>
      <c r="C754" s="4">
        <v>0.8</v>
      </c>
      <c r="F754" s="3" t="s">
        <v>1785</v>
      </c>
      <c r="G754" s="4">
        <v>1</v>
      </c>
    </row>
    <row r="755" spans="2:7" x14ac:dyDescent="0.15">
      <c r="B755" s="9" t="s">
        <v>763</v>
      </c>
      <c r="C755" s="4">
        <v>0.8</v>
      </c>
      <c r="F755" s="3" t="s">
        <v>1786</v>
      </c>
      <c r="G755" s="4">
        <v>1</v>
      </c>
    </row>
    <row r="756" spans="2:7" x14ac:dyDescent="0.15">
      <c r="B756" s="9" t="s">
        <v>764</v>
      </c>
      <c r="C756" s="4">
        <v>0.8</v>
      </c>
      <c r="F756" s="3" t="s">
        <v>1787</v>
      </c>
      <c r="G756" s="4">
        <v>1</v>
      </c>
    </row>
    <row r="757" spans="2:7" x14ac:dyDescent="0.15">
      <c r="B757" s="9" t="s">
        <v>765</v>
      </c>
      <c r="C757" s="4">
        <v>0.85</v>
      </c>
      <c r="F757" s="3" t="s">
        <v>1788</v>
      </c>
      <c r="G757" s="4">
        <v>1</v>
      </c>
    </row>
    <row r="758" spans="2:7" x14ac:dyDescent="0.15">
      <c r="B758" s="9" t="s">
        <v>766</v>
      </c>
      <c r="C758" s="4">
        <v>0.85</v>
      </c>
      <c r="F758" s="3" t="s">
        <v>1789</v>
      </c>
      <c r="G758" s="4">
        <v>1</v>
      </c>
    </row>
    <row r="759" spans="2:7" x14ac:dyDescent="0.15">
      <c r="B759" s="9" t="s">
        <v>767</v>
      </c>
      <c r="C759" s="4">
        <v>0.85</v>
      </c>
      <c r="F759" s="3" t="s">
        <v>1790</v>
      </c>
      <c r="G759" s="4">
        <v>1</v>
      </c>
    </row>
    <row r="760" spans="2:7" x14ac:dyDescent="0.15">
      <c r="B760" s="9" t="s">
        <v>768</v>
      </c>
      <c r="C760" s="4">
        <v>1</v>
      </c>
      <c r="F760" s="3" t="s">
        <v>1791</v>
      </c>
      <c r="G760" s="4">
        <v>1</v>
      </c>
    </row>
    <row r="761" spans="2:7" x14ac:dyDescent="0.15">
      <c r="B761" s="9" t="s">
        <v>769</v>
      </c>
      <c r="C761" s="4">
        <v>1</v>
      </c>
      <c r="F761" s="3" t="s">
        <v>1792</v>
      </c>
      <c r="G761" s="4">
        <v>1</v>
      </c>
    </row>
    <row r="762" spans="2:7" x14ac:dyDescent="0.15">
      <c r="B762" s="9" t="s">
        <v>770</v>
      </c>
      <c r="C762" s="4">
        <v>1</v>
      </c>
      <c r="F762" s="3" t="s">
        <v>1793</v>
      </c>
      <c r="G762" s="4">
        <v>1</v>
      </c>
    </row>
    <row r="763" spans="2:7" x14ac:dyDescent="0.15">
      <c r="B763" s="9" t="s">
        <v>771</v>
      </c>
      <c r="C763" s="4">
        <v>1</v>
      </c>
      <c r="F763" s="3" t="s">
        <v>1794</v>
      </c>
      <c r="G763" s="4">
        <v>1</v>
      </c>
    </row>
    <row r="764" spans="2:7" x14ac:dyDescent="0.15">
      <c r="B764" s="9" t="s">
        <v>772</v>
      </c>
      <c r="C764" s="4">
        <v>1</v>
      </c>
      <c r="F764" s="3" t="s">
        <v>1795</v>
      </c>
      <c r="G764" s="4">
        <v>1</v>
      </c>
    </row>
    <row r="765" spans="2:7" x14ac:dyDescent="0.15">
      <c r="B765" s="9" t="s">
        <v>773</v>
      </c>
      <c r="C765" s="4">
        <v>1</v>
      </c>
      <c r="F765" s="3" t="s">
        <v>1796</v>
      </c>
      <c r="G765" s="4">
        <v>1</v>
      </c>
    </row>
    <row r="766" spans="2:7" x14ac:dyDescent="0.15">
      <c r="B766" s="9" t="s">
        <v>774</v>
      </c>
      <c r="C766" s="4">
        <v>1</v>
      </c>
      <c r="F766" s="3" t="s">
        <v>1797</v>
      </c>
      <c r="G766" s="4">
        <v>1</v>
      </c>
    </row>
    <row r="767" spans="2:7" x14ac:dyDescent="0.15">
      <c r="B767" s="9" t="s">
        <v>775</v>
      </c>
      <c r="C767" s="4">
        <v>0.9</v>
      </c>
      <c r="F767" s="3" t="s">
        <v>1798</v>
      </c>
      <c r="G767" s="4">
        <v>1</v>
      </c>
    </row>
    <row r="768" spans="2:7" x14ac:dyDescent="0.15">
      <c r="B768" s="9" t="s">
        <v>776</v>
      </c>
      <c r="C768" s="4">
        <v>0.9</v>
      </c>
      <c r="F768" s="3" t="s">
        <v>1799</v>
      </c>
      <c r="G768" s="4">
        <v>1</v>
      </c>
    </row>
    <row r="769" spans="2:7" x14ac:dyDescent="0.15">
      <c r="B769" s="9" t="s">
        <v>777</v>
      </c>
      <c r="C769" s="4">
        <v>0.9</v>
      </c>
      <c r="F769" s="3" t="s">
        <v>1800</v>
      </c>
      <c r="G769" s="4">
        <v>1</v>
      </c>
    </row>
    <row r="770" spans="2:7" x14ac:dyDescent="0.15">
      <c r="B770" s="9" t="s">
        <v>778</v>
      </c>
      <c r="C770" s="4">
        <v>0.9</v>
      </c>
      <c r="F770" s="3" t="s">
        <v>1801</v>
      </c>
      <c r="G770" s="4">
        <v>1</v>
      </c>
    </row>
    <row r="771" spans="2:7" x14ac:dyDescent="0.15">
      <c r="B771" s="9" t="s">
        <v>779</v>
      </c>
      <c r="C771" s="4">
        <v>0.9</v>
      </c>
      <c r="F771" s="3" t="s">
        <v>1802</v>
      </c>
      <c r="G771" s="4">
        <v>1</v>
      </c>
    </row>
    <row r="772" spans="2:7" x14ac:dyDescent="0.15">
      <c r="B772" s="9" t="s">
        <v>780</v>
      </c>
      <c r="C772" s="4">
        <v>0.9</v>
      </c>
      <c r="F772" s="3" t="s">
        <v>1803</v>
      </c>
      <c r="G772" s="4">
        <v>1</v>
      </c>
    </row>
    <row r="773" spans="2:7" x14ac:dyDescent="0.15">
      <c r="B773" s="9" t="s">
        <v>781</v>
      </c>
      <c r="C773" s="4">
        <v>0.9</v>
      </c>
      <c r="F773" s="3" t="s">
        <v>1804</v>
      </c>
      <c r="G773" s="4">
        <v>1</v>
      </c>
    </row>
    <row r="774" spans="2:7" x14ac:dyDescent="0.15">
      <c r="B774" s="9" t="s">
        <v>782</v>
      </c>
      <c r="C774" s="4">
        <v>0.9</v>
      </c>
      <c r="F774" s="3" t="s">
        <v>1805</v>
      </c>
      <c r="G774" s="4">
        <v>1</v>
      </c>
    </row>
    <row r="775" spans="2:7" x14ac:dyDescent="0.15">
      <c r="B775" s="9" t="s">
        <v>783</v>
      </c>
      <c r="C775" s="4">
        <v>0.8</v>
      </c>
      <c r="F775" s="3" t="s">
        <v>1806</v>
      </c>
      <c r="G775" s="4">
        <v>1</v>
      </c>
    </row>
    <row r="776" spans="2:7" x14ac:dyDescent="0.15">
      <c r="B776" s="9" t="s">
        <v>784</v>
      </c>
      <c r="C776" s="4">
        <v>0.8</v>
      </c>
      <c r="F776" s="3" t="s">
        <v>1807</v>
      </c>
      <c r="G776" s="4">
        <v>1</v>
      </c>
    </row>
    <row r="777" spans="2:7" x14ac:dyDescent="0.15">
      <c r="B777" s="9" t="s">
        <v>785</v>
      </c>
      <c r="C777" s="4">
        <v>0.8</v>
      </c>
      <c r="F777" s="3" t="s">
        <v>1808</v>
      </c>
      <c r="G777" s="4">
        <v>1</v>
      </c>
    </row>
    <row r="778" spans="2:7" x14ac:dyDescent="0.15">
      <c r="B778" s="9" t="s">
        <v>786</v>
      </c>
      <c r="C778" s="4">
        <v>0.8</v>
      </c>
      <c r="F778" s="3" t="s">
        <v>1809</v>
      </c>
      <c r="G778" s="4">
        <v>1</v>
      </c>
    </row>
    <row r="779" spans="2:7" x14ac:dyDescent="0.15">
      <c r="B779" s="9" t="s">
        <v>787</v>
      </c>
      <c r="C779" s="4">
        <v>0.8</v>
      </c>
      <c r="F779" s="3" t="s">
        <v>1810</v>
      </c>
      <c r="G779" s="4">
        <v>1</v>
      </c>
    </row>
    <row r="780" spans="2:7" x14ac:dyDescent="0.15">
      <c r="B780" s="9" t="s">
        <v>788</v>
      </c>
      <c r="C780" s="4">
        <v>0.8</v>
      </c>
      <c r="F780" s="3" t="s">
        <v>1811</v>
      </c>
      <c r="G780" s="4">
        <v>1</v>
      </c>
    </row>
    <row r="781" spans="2:7" x14ac:dyDescent="0.15">
      <c r="B781" s="9" t="s">
        <v>789</v>
      </c>
      <c r="C781" s="4">
        <v>0.8</v>
      </c>
      <c r="F781" s="3" t="s">
        <v>1812</v>
      </c>
      <c r="G781" s="4">
        <v>1</v>
      </c>
    </row>
    <row r="782" spans="2:7" x14ac:dyDescent="0.15">
      <c r="B782" s="9" t="s">
        <v>790</v>
      </c>
      <c r="C782" s="4">
        <v>0.9</v>
      </c>
      <c r="F782" s="3" t="s">
        <v>1813</v>
      </c>
      <c r="G782" s="4">
        <v>1</v>
      </c>
    </row>
    <row r="783" spans="2:7" x14ac:dyDescent="0.15">
      <c r="B783" s="9" t="s">
        <v>791</v>
      </c>
      <c r="C783" s="4">
        <v>0.9</v>
      </c>
      <c r="F783" s="3" t="s">
        <v>1814</v>
      </c>
      <c r="G783" s="4">
        <v>1</v>
      </c>
    </row>
    <row r="784" spans="2:7" x14ac:dyDescent="0.15">
      <c r="B784" s="9" t="s">
        <v>792</v>
      </c>
      <c r="C784" s="4">
        <v>0.9</v>
      </c>
      <c r="F784" s="3" t="s">
        <v>1815</v>
      </c>
      <c r="G784" s="4">
        <v>1</v>
      </c>
    </row>
    <row r="785" spans="2:7" x14ac:dyDescent="0.15">
      <c r="B785" s="9" t="s">
        <v>793</v>
      </c>
      <c r="C785" s="4">
        <v>0.9</v>
      </c>
      <c r="F785" s="3" t="s">
        <v>1816</v>
      </c>
      <c r="G785" s="4">
        <v>1</v>
      </c>
    </row>
    <row r="786" spans="2:7" x14ac:dyDescent="0.15">
      <c r="B786" s="9" t="s">
        <v>794</v>
      </c>
      <c r="C786" s="4">
        <v>0.9</v>
      </c>
      <c r="F786" s="3" t="s">
        <v>1817</v>
      </c>
      <c r="G786" s="4">
        <v>1</v>
      </c>
    </row>
    <row r="787" spans="2:7" x14ac:dyDescent="0.15">
      <c r="B787" s="9" t="s">
        <v>795</v>
      </c>
      <c r="C787" s="4">
        <v>0.9</v>
      </c>
      <c r="F787" s="3" t="s">
        <v>1818</v>
      </c>
      <c r="G787" s="4">
        <v>1</v>
      </c>
    </row>
    <row r="788" spans="2:7" x14ac:dyDescent="0.15">
      <c r="B788" s="9" t="s">
        <v>796</v>
      </c>
      <c r="C788" s="4">
        <v>0.9</v>
      </c>
      <c r="F788" s="3" t="s">
        <v>1819</v>
      </c>
      <c r="G788" s="4">
        <v>1</v>
      </c>
    </row>
    <row r="789" spans="2:7" x14ac:dyDescent="0.15">
      <c r="B789" s="9" t="s">
        <v>797</v>
      </c>
      <c r="C789" s="4">
        <v>0.9</v>
      </c>
      <c r="F789" s="3" t="s">
        <v>1820</v>
      </c>
      <c r="G789" s="4">
        <v>1</v>
      </c>
    </row>
    <row r="790" spans="2:7" x14ac:dyDescent="0.15">
      <c r="B790" s="9" t="s">
        <v>798</v>
      </c>
      <c r="C790" s="4">
        <v>0.9</v>
      </c>
      <c r="F790" s="3" t="s">
        <v>1821</v>
      </c>
      <c r="G790" s="4">
        <v>1</v>
      </c>
    </row>
    <row r="791" spans="2:7" x14ac:dyDescent="0.15">
      <c r="B791" s="9" t="s">
        <v>799</v>
      </c>
      <c r="C791" s="4">
        <v>0.95</v>
      </c>
      <c r="F791" s="3" t="s">
        <v>1822</v>
      </c>
      <c r="G791" s="4">
        <v>1</v>
      </c>
    </row>
    <row r="792" spans="2:7" x14ac:dyDescent="0.15">
      <c r="B792" s="9" t="s">
        <v>800</v>
      </c>
      <c r="C792" s="4">
        <v>0.95</v>
      </c>
      <c r="F792" s="3" t="s">
        <v>1823</v>
      </c>
      <c r="G792" s="4">
        <v>1</v>
      </c>
    </row>
    <row r="793" spans="2:7" x14ac:dyDescent="0.15">
      <c r="B793" s="9" t="s">
        <v>801</v>
      </c>
      <c r="C793" s="4">
        <v>0.8</v>
      </c>
      <c r="F793" s="3" t="s">
        <v>1824</v>
      </c>
      <c r="G793" s="4">
        <v>1</v>
      </c>
    </row>
    <row r="794" spans="2:7" x14ac:dyDescent="0.15">
      <c r="B794" s="9" t="s">
        <v>802</v>
      </c>
      <c r="C794" s="4">
        <v>1</v>
      </c>
      <c r="F794" s="3" t="s">
        <v>1825</v>
      </c>
      <c r="G794" s="4">
        <v>1</v>
      </c>
    </row>
    <row r="795" spans="2:7" x14ac:dyDescent="0.15">
      <c r="B795" s="9" t="s">
        <v>803</v>
      </c>
      <c r="C795" s="4">
        <v>0.8</v>
      </c>
      <c r="F795" s="3" t="s">
        <v>1826</v>
      </c>
      <c r="G795" s="4">
        <v>1</v>
      </c>
    </row>
    <row r="796" spans="2:7" x14ac:dyDescent="0.15">
      <c r="B796" s="9" t="s">
        <v>804</v>
      </c>
      <c r="C796" s="4">
        <v>0.8</v>
      </c>
      <c r="F796" s="3" t="s">
        <v>1827</v>
      </c>
      <c r="G796" s="4">
        <v>1</v>
      </c>
    </row>
    <row r="797" spans="2:7" x14ac:dyDescent="0.15">
      <c r="B797" s="9" t="s">
        <v>805</v>
      </c>
      <c r="C797" s="4">
        <v>0.8</v>
      </c>
      <c r="F797" s="3" t="s">
        <v>1828</v>
      </c>
      <c r="G797" s="4">
        <v>1</v>
      </c>
    </row>
    <row r="798" spans="2:7" x14ac:dyDescent="0.15">
      <c r="B798" s="9" t="s">
        <v>806</v>
      </c>
      <c r="C798" s="4">
        <v>0.8</v>
      </c>
      <c r="F798" s="3" t="s">
        <v>1829</v>
      </c>
      <c r="G798" s="4">
        <v>1</v>
      </c>
    </row>
    <row r="799" spans="2:7" x14ac:dyDescent="0.15">
      <c r="B799" s="9" t="s">
        <v>807</v>
      </c>
      <c r="C799" s="4">
        <v>0.8</v>
      </c>
      <c r="F799" s="3" t="s">
        <v>1830</v>
      </c>
      <c r="G799" s="4">
        <v>1</v>
      </c>
    </row>
    <row r="800" spans="2:7" x14ac:dyDescent="0.15">
      <c r="B800" s="9" t="s">
        <v>808</v>
      </c>
      <c r="C800" s="4">
        <v>0.8</v>
      </c>
      <c r="F800" s="3" t="s">
        <v>1831</v>
      </c>
      <c r="G800" s="4">
        <v>1</v>
      </c>
    </row>
    <row r="801" spans="2:7" x14ac:dyDescent="0.15">
      <c r="B801" s="9" t="s">
        <v>809</v>
      </c>
      <c r="C801" s="4">
        <v>0.8</v>
      </c>
      <c r="F801" s="3" t="s">
        <v>1832</v>
      </c>
      <c r="G801" s="4">
        <v>1</v>
      </c>
    </row>
    <row r="802" spans="2:7" x14ac:dyDescent="0.15">
      <c r="B802" s="9" t="s">
        <v>810</v>
      </c>
      <c r="C802" s="4">
        <v>0.8</v>
      </c>
      <c r="F802" s="3" t="s">
        <v>1833</v>
      </c>
      <c r="G802" s="4">
        <v>1</v>
      </c>
    </row>
    <row r="803" spans="2:7" x14ac:dyDescent="0.15">
      <c r="B803" s="9" t="s">
        <v>811</v>
      </c>
      <c r="C803" s="4">
        <v>0.8</v>
      </c>
      <c r="F803" s="3" t="s">
        <v>1834</v>
      </c>
      <c r="G803" s="4">
        <v>1</v>
      </c>
    </row>
    <row r="804" spans="2:7" x14ac:dyDescent="0.15">
      <c r="B804" s="9" t="s">
        <v>812</v>
      </c>
      <c r="C804" s="4">
        <v>0.8</v>
      </c>
      <c r="F804" s="3" t="s">
        <v>1835</v>
      </c>
      <c r="G804" s="4">
        <v>1</v>
      </c>
    </row>
    <row r="805" spans="2:7" x14ac:dyDescent="0.15">
      <c r="B805" s="9" t="s">
        <v>813</v>
      </c>
      <c r="C805" s="4">
        <v>0.8</v>
      </c>
      <c r="F805" s="3" t="s">
        <v>1836</v>
      </c>
      <c r="G805" s="4">
        <v>1</v>
      </c>
    </row>
    <row r="806" spans="2:7" x14ac:dyDescent="0.15">
      <c r="B806" s="9" t="s">
        <v>814</v>
      </c>
      <c r="C806" s="4">
        <v>0.8</v>
      </c>
      <c r="F806" s="3" t="s">
        <v>1837</v>
      </c>
      <c r="G806" s="4">
        <v>1</v>
      </c>
    </row>
    <row r="807" spans="2:7" x14ac:dyDescent="0.15">
      <c r="B807" s="9" t="s">
        <v>815</v>
      </c>
      <c r="C807" s="4">
        <v>0.8</v>
      </c>
      <c r="F807" s="3" t="s">
        <v>1838</v>
      </c>
      <c r="G807" s="4">
        <v>1</v>
      </c>
    </row>
    <row r="808" spans="2:7" x14ac:dyDescent="0.15">
      <c r="B808" s="9" t="s">
        <v>816</v>
      </c>
      <c r="C808" s="4">
        <v>1</v>
      </c>
      <c r="F808" s="3" t="s">
        <v>1839</v>
      </c>
      <c r="G808" s="4">
        <v>1</v>
      </c>
    </row>
    <row r="809" spans="2:7" x14ac:dyDescent="0.15">
      <c r="B809" s="9" t="s">
        <v>817</v>
      </c>
      <c r="C809" s="4">
        <v>1</v>
      </c>
      <c r="F809" s="3" t="s">
        <v>1840</v>
      </c>
      <c r="G809" s="4">
        <v>1</v>
      </c>
    </row>
    <row r="810" spans="2:7" x14ac:dyDescent="0.15">
      <c r="B810" s="9" t="s">
        <v>818</v>
      </c>
      <c r="C810" s="4">
        <v>1</v>
      </c>
      <c r="F810" s="3" t="s">
        <v>1841</v>
      </c>
      <c r="G810" s="4">
        <v>1</v>
      </c>
    </row>
    <row r="811" spans="2:7" x14ac:dyDescent="0.15">
      <c r="B811" s="9" t="s">
        <v>819</v>
      </c>
      <c r="C811" s="4">
        <v>0.8</v>
      </c>
      <c r="F811" s="3" t="s">
        <v>1842</v>
      </c>
      <c r="G811" s="4">
        <v>1</v>
      </c>
    </row>
    <row r="812" spans="2:7" x14ac:dyDescent="0.15">
      <c r="B812" s="9" t="s">
        <v>820</v>
      </c>
      <c r="C812" s="4">
        <v>0.8</v>
      </c>
      <c r="F812" s="3" t="s">
        <v>1843</v>
      </c>
      <c r="G812" s="4">
        <v>1</v>
      </c>
    </row>
    <row r="813" spans="2:7" x14ac:dyDescent="0.15">
      <c r="B813" s="9" t="s">
        <v>821</v>
      </c>
      <c r="C813" s="4">
        <v>0.8</v>
      </c>
      <c r="F813" s="3" t="s">
        <v>1844</v>
      </c>
      <c r="G813" s="4">
        <v>1</v>
      </c>
    </row>
    <row r="814" spans="2:7" x14ac:dyDescent="0.15">
      <c r="B814" s="9" t="s">
        <v>822</v>
      </c>
      <c r="C814" s="4">
        <v>0.8</v>
      </c>
      <c r="F814" s="3" t="s">
        <v>1845</v>
      </c>
      <c r="G814" s="4">
        <v>1</v>
      </c>
    </row>
    <row r="815" spans="2:7" x14ac:dyDescent="0.15">
      <c r="B815" s="9" t="s">
        <v>823</v>
      </c>
      <c r="C815" s="4">
        <v>0.8</v>
      </c>
      <c r="F815" s="3" t="s">
        <v>1846</v>
      </c>
      <c r="G815" s="4">
        <v>1</v>
      </c>
    </row>
    <row r="816" spans="2:7" x14ac:dyDescent="0.15">
      <c r="B816" s="9" t="s">
        <v>824</v>
      </c>
      <c r="C816" s="4">
        <v>0.9</v>
      </c>
      <c r="F816" s="3" t="s">
        <v>1847</v>
      </c>
      <c r="G816" s="4">
        <v>1</v>
      </c>
    </row>
    <row r="817" spans="2:7" x14ac:dyDescent="0.15">
      <c r="B817" s="9" t="s">
        <v>825</v>
      </c>
      <c r="C817" s="4">
        <v>0.9</v>
      </c>
      <c r="F817" s="3" t="s">
        <v>1848</v>
      </c>
      <c r="G817" s="4">
        <v>1</v>
      </c>
    </row>
    <row r="818" spans="2:7" x14ac:dyDescent="0.15">
      <c r="B818" s="9" t="s">
        <v>826</v>
      </c>
      <c r="C818" s="4">
        <v>0.9</v>
      </c>
      <c r="F818" s="3" t="s">
        <v>1849</v>
      </c>
      <c r="G818" s="4">
        <v>1</v>
      </c>
    </row>
    <row r="819" spans="2:7" x14ac:dyDescent="0.15">
      <c r="B819" s="9" t="s">
        <v>827</v>
      </c>
      <c r="C819" s="4">
        <v>0.9</v>
      </c>
      <c r="F819" s="3" t="s">
        <v>1850</v>
      </c>
      <c r="G819" s="4">
        <v>1</v>
      </c>
    </row>
    <row r="820" spans="2:7" x14ac:dyDescent="0.15">
      <c r="B820" s="9" t="s">
        <v>828</v>
      </c>
      <c r="C820" s="4">
        <v>0.9</v>
      </c>
      <c r="F820" s="3" t="s">
        <v>1851</v>
      </c>
      <c r="G820" s="4">
        <v>1</v>
      </c>
    </row>
    <row r="821" spans="2:7" x14ac:dyDescent="0.15">
      <c r="B821" s="9" t="s">
        <v>829</v>
      </c>
      <c r="C821" s="4">
        <v>0.9</v>
      </c>
      <c r="F821" s="3" t="s">
        <v>1852</v>
      </c>
      <c r="G821" s="4">
        <v>1</v>
      </c>
    </row>
    <row r="822" spans="2:7" x14ac:dyDescent="0.15">
      <c r="B822" s="9" t="s">
        <v>830</v>
      </c>
      <c r="C822" s="4">
        <v>0.9</v>
      </c>
      <c r="F822" s="3" t="s">
        <v>1853</v>
      </c>
      <c r="G822" s="4">
        <v>1</v>
      </c>
    </row>
    <row r="823" spans="2:7" x14ac:dyDescent="0.15">
      <c r="B823" s="9" t="s">
        <v>831</v>
      </c>
      <c r="C823" s="4">
        <v>0.9</v>
      </c>
      <c r="F823" s="3" t="s">
        <v>1854</v>
      </c>
      <c r="G823" s="4">
        <v>1</v>
      </c>
    </row>
    <row r="824" spans="2:7" x14ac:dyDescent="0.15">
      <c r="B824" s="9" t="s">
        <v>832</v>
      </c>
      <c r="C824" s="4">
        <v>0.9</v>
      </c>
      <c r="F824" s="3" t="s">
        <v>1855</v>
      </c>
      <c r="G824" s="4">
        <v>1</v>
      </c>
    </row>
    <row r="825" spans="2:7" x14ac:dyDescent="0.15">
      <c r="B825" s="9" t="s">
        <v>833</v>
      </c>
      <c r="C825" s="4">
        <v>0.9</v>
      </c>
      <c r="F825" s="3" t="s">
        <v>1856</v>
      </c>
      <c r="G825" s="4">
        <v>1</v>
      </c>
    </row>
    <row r="826" spans="2:7" x14ac:dyDescent="0.15">
      <c r="B826" s="9" t="s">
        <v>834</v>
      </c>
      <c r="C826" s="4">
        <v>0.9</v>
      </c>
      <c r="F826" s="3" t="s">
        <v>1857</v>
      </c>
      <c r="G826" s="4">
        <v>1</v>
      </c>
    </row>
    <row r="827" spans="2:7" x14ac:dyDescent="0.15">
      <c r="B827" s="9" t="s">
        <v>835</v>
      </c>
      <c r="C827" s="4">
        <v>0.9</v>
      </c>
      <c r="F827" s="3" t="s">
        <v>1858</v>
      </c>
      <c r="G827" s="4">
        <v>1</v>
      </c>
    </row>
    <row r="828" spans="2:7" x14ac:dyDescent="0.15">
      <c r="B828" s="9" t="s">
        <v>836</v>
      </c>
      <c r="C828" s="4">
        <v>0.9</v>
      </c>
      <c r="F828" s="3" t="s">
        <v>1859</v>
      </c>
      <c r="G828" s="4">
        <v>1</v>
      </c>
    </row>
    <row r="829" spans="2:7" x14ac:dyDescent="0.15">
      <c r="B829" s="9" t="s">
        <v>837</v>
      </c>
      <c r="C829" s="4">
        <v>0.85</v>
      </c>
      <c r="F829" s="3" t="s">
        <v>1860</v>
      </c>
      <c r="G829" s="4">
        <v>1</v>
      </c>
    </row>
    <row r="830" spans="2:7" x14ac:dyDescent="0.15">
      <c r="B830" s="9" t="s">
        <v>838</v>
      </c>
      <c r="C830" s="4">
        <v>0.85</v>
      </c>
      <c r="F830" s="3" t="s">
        <v>1861</v>
      </c>
      <c r="G830" s="4">
        <v>1</v>
      </c>
    </row>
    <row r="831" spans="2:7" x14ac:dyDescent="0.15">
      <c r="B831" s="9" t="s">
        <v>839</v>
      </c>
      <c r="C831" s="4">
        <v>0.85</v>
      </c>
      <c r="F831" s="3" t="s">
        <v>1862</v>
      </c>
      <c r="G831" s="4">
        <v>1</v>
      </c>
    </row>
    <row r="832" spans="2:7" x14ac:dyDescent="0.15">
      <c r="B832" s="9" t="s">
        <v>840</v>
      </c>
      <c r="C832" s="4">
        <v>0.85</v>
      </c>
      <c r="F832" s="3" t="s">
        <v>1863</v>
      </c>
      <c r="G832" s="4">
        <v>1</v>
      </c>
    </row>
    <row r="833" spans="2:7" x14ac:dyDescent="0.15">
      <c r="B833" s="9" t="s">
        <v>841</v>
      </c>
      <c r="C833" s="4">
        <v>0.85</v>
      </c>
      <c r="F833" s="3" t="s">
        <v>1864</v>
      </c>
      <c r="G833" s="4">
        <v>1</v>
      </c>
    </row>
    <row r="834" spans="2:7" x14ac:dyDescent="0.15">
      <c r="B834" s="9" t="s">
        <v>842</v>
      </c>
      <c r="C834" s="4">
        <v>0.85</v>
      </c>
      <c r="F834" s="3" t="s">
        <v>1865</v>
      </c>
      <c r="G834" s="4">
        <v>1</v>
      </c>
    </row>
    <row r="835" spans="2:7" x14ac:dyDescent="0.15">
      <c r="B835" s="9" t="s">
        <v>843</v>
      </c>
      <c r="C835" s="4">
        <v>0.85</v>
      </c>
      <c r="F835" s="3" t="s">
        <v>1866</v>
      </c>
      <c r="G835" s="4">
        <v>1</v>
      </c>
    </row>
    <row r="836" spans="2:7" x14ac:dyDescent="0.15">
      <c r="B836" s="9" t="s">
        <v>844</v>
      </c>
      <c r="C836" s="4">
        <v>0.85</v>
      </c>
      <c r="F836" s="3" t="s">
        <v>1867</v>
      </c>
      <c r="G836" s="4">
        <v>1</v>
      </c>
    </row>
    <row r="837" spans="2:7" x14ac:dyDescent="0.15">
      <c r="B837" s="9" t="s">
        <v>845</v>
      </c>
      <c r="C837" s="4">
        <v>0.85</v>
      </c>
      <c r="F837" s="3" t="s">
        <v>1868</v>
      </c>
      <c r="G837" s="4">
        <v>1</v>
      </c>
    </row>
    <row r="838" spans="2:7" x14ac:dyDescent="0.15">
      <c r="B838" s="9" t="s">
        <v>846</v>
      </c>
      <c r="C838" s="4">
        <v>0.85</v>
      </c>
      <c r="F838" s="3" t="s">
        <v>1869</v>
      </c>
      <c r="G838" s="4">
        <v>1</v>
      </c>
    </row>
    <row r="839" spans="2:7" x14ac:dyDescent="0.15">
      <c r="B839" s="9" t="s">
        <v>847</v>
      </c>
      <c r="C839" s="4">
        <v>0.85</v>
      </c>
      <c r="F839" s="3" t="s">
        <v>1870</v>
      </c>
      <c r="G839" s="4">
        <v>1</v>
      </c>
    </row>
    <row r="840" spans="2:7" x14ac:dyDescent="0.15">
      <c r="B840" s="9" t="s">
        <v>848</v>
      </c>
      <c r="C840" s="4">
        <v>0.95</v>
      </c>
      <c r="F840" s="3" t="s">
        <v>1871</v>
      </c>
      <c r="G840" s="4">
        <v>1</v>
      </c>
    </row>
    <row r="841" spans="2:7" x14ac:dyDescent="0.15">
      <c r="B841" s="9" t="s">
        <v>849</v>
      </c>
      <c r="C841" s="4">
        <v>0.95</v>
      </c>
      <c r="F841" s="3" t="s">
        <v>1872</v>
      </c>
      <c r="G841" s="4">
        <v>1</v>
      </c>
    </row>
    <row r="842" spans="2:7" x14ac:dyDescent="0.15">
      <c r="B842" s="9" t="s">
        <v>850</v>
      </c>
      <c r="C842" s="4">
        <v>0.95</v>
      </c>
      <c r="F842" s="3" t="s">
        <v>1873</v>
      </c>
      <c r="G842" s="4">
        <v>1</v>
      </c>
    </row>
    <row r="843" spans="2:7" x14ac:dyDescent="0.15">
      <c r="B843" s="9" t="s">
        <v>851</v>
      </c>
      <c r="C843" s="4">
        <v>0.95</v>
      </c>
      <c r="F843" s="3" t="s">
        <v>1874</v>
      </c>
      <c r="G843" s="4">
        <v>1</v>
      </c>
    </row>
    <row r="844" spans="2:7" x14ac:dyDescent="0.15">
      <c r="B844" s="9" t="s">
        <v>852</v>
      </c>
      <c r="C844" s="4">
        <v>0.95</v>
      </c>
      <c r="F844" s="3" t="s">
        <v>1875</v>
      </c>
      <c r="G844" s="4">
        <v>1</v>
      </c>
    </row>
    <row r="845" spans="2:7" x14ac:dyDescent="0.15">
      <c r="B845" s="9" t="s">
        <v>853</v>
      </c>
      <c r="C845" s="4">
        <v>0.95</v>
      </c>
      <c r="F845" s="3" t="s">
        <v>1876</v>
      </c>
      <c r="G845" s="4">
        <v>1</v>
      </c>
    </row>
    <row r="846" spans="2:7" x14ac:dyDescent="0.15">
      <c r="B846" s="9" t="s">
        <v>854</v>
      </c>
      <c r="C846" s="4">
        <v>0.95</v>
      </c>
      <c r="F846" s="3" t="s">
        <v>1877</v>
      </c>
      <c r="G846" s="4">
        <v>1</v>
      </c>
    </row>
    <row r="847" spans="2:7" x14ac:dyDescent="0.15">
      <c r="B847" s="9" t="s">
        <v>855</v>
      </c>
      <c r="C847" s="4">
        <v>0.95</v>
      </c>
      <c r="F847" s="3" t="s">
        <v>1878</v>
      </c>
      <c r="G847" s="4">
        <v>1</v>
      </c>
    </row>
    <row r="848" spans="2:7" x14ac:dyDescent="0.15">
      <c r="B848" s="9" t="s">
        <v>856</v>
      </c>
      <c r="C848" s="4">
        <v>0.93</v>
      </c>
      <c r="F848" s="3" t="s">
        <v>1879</v>
      </c>
      <c r="G848" s="4">
        <v>1</v>
      </c>
    </row>
    <row r="849" spans="2:7" x14ac:dyDescent="0.15">
      <c r="B849" s="9" t="s">
        <v>857</v>
      </c>
      <c r="C849" s="4">
        <v>0.85</v>
      </c>
      <c r="F849" s="3" t="s">
        <v>1880</v>
      </c>
      <c r="G849" s="4">
        <v>1</v>
      </c>
    </row>
    <row r="850" spans="2:7" x14ac:dyDescent="0.15">
      <c r="B850" s="9" t="s">
        <v>858</v>
      </c>
      <c r="C850" s="4">
        <v>0.85</v>
      </c>
      <c r="F850" s="3" t="s">
        <v>1881</v>
      </c>
      <c r="G850" s="4">
        <v>1</v>
      </c>
    </row>
    <row r="851" spans="2:7" x14ac:dyDescent="0.15">
      <c r="B851" s="9" t="s">
        <v>859</v>
      </c>
      <c r="C851" s="4">
        <v>0.85</v>
      </c>
      <c r="F851" s="3" t="s">
        <v>1882</v>
      </c>
      <c r="G851" s="4">
        <v>1</v>
      </c>
    </row>
    <row r="852" spans="2:7" x14ac:dyDescent="0.15">
      <c r="B852" s="9" t="s">
        <v>860</v>
      </c>
      <c r="C852" s="4">
        <v>0.85</v>
      </c>
      <c r="F852" s="3" t="s">
        <v>1883</v>
      </c>
      <c r="G852" s="4">
        <v>1</v>
      </c>
    </row>
    <row r="853" spans="2:7" x14ac:dyDescent="0.15">
      <c r="B853" s="9" t="s">
        <v>861</v>
      </c>
      <c r="C853" s="4">
        <v>0.85</v>
      </c>
      <c r="F853" s="3" t="s">
        <v>1884</v>
      </c>
      <c r="G853" s="4">
        <v>1</v>
      </c>
    </row>
    <row r="854" spans="2:7" x14ac:dyDescent="0.15">
      <c r="B854" s="9" t="s">
        <v>862</v>
      </c>
      <c r="C854" s="4">
        <v>0.85</v>
      </c>
      <c r="F854" s="3" t="s">
        <v>1885</v>
      </c>
      <c r="G854" s="4">
        <v>1</v>
      </c>
    </row>
    <row r="855" spans="2:7" x14ac:dyDescent="0.15">
      <c r="B855" s="9" t="s">
        <v>863</v>
      </c>
      <c r="C855" s="4">
        <v>0.85</v>
      </c>
      <c r="F855" s="3" t="s">
        <v>1886</v>
      </c>
      <c r="G855" s="4">
        <v>1</v>
      </c>
    </row>
    <row r="856" spans="2:7" x14ac:dyDescent="0.15">
      <c r="B856" s="9" t="s">
        <v>864</v>
      </c>
      <c r="C856" s="4">
        <v>0.85</v>
      </c>
      <c r="F856" s="3" t="s">
        <v>1887</v>
      </c>
      <c r="G856" s="4">
        <v>1</v>
      </c>
    </row>
    <row r="857" spans="2:7" x14ac:dyDescent="0.15">
      <c r="B857" s="9" t="s">
        <v>865</v>
      </c>
      <c r="C857" s="4">
        <v>0.85</v>
      </c>
      <c r="F857" s="3" t="s">
        <v>1888</v>
      </c>
      <c r="G857" s="4">
        <v>1</v>
      </c>
    </row>
    <row r="858" spans="2:7" x14ac:dyDescent="0.15">
      <c r="B858" s="9" t="s">
        <v>866</v>
      </c>
      <c r="C858" s="4">
        <v>0.85</v>
      </c>
      <c r="F858" s="3" t="s">
        <v>1889</v>
      </c>
      <c r="G858" s="4">
        <v>1</v>
      </c>
    </row>
    <row r="859" spans="2:7" x14ac:dyDescent="0.15">
      <c r="B859" s="9" t="s">
        <v>867</v>
      </c>
      <c r="C859" s="4">
        <v>0.95</v>
      </c>
      <c r="F859" s="3" t="s">
        <v>1890</v>
      </c>
      <c r="G859" s="4">
        <v>1</v>
      </c>
    </row>
    <row r="860" spans="2:7" x14ac:dyDescent="0.15">
      <c r="B860" s="9" t="s">
        <v>868</v>
      </c>
      <c r="C860" s="4">
        <v>0.95</v>
      </c>
      <c r="F860" s="3" t="s">
        <v>1891</v>
      </c>
      <c r="G860" s="4">
        <v>1</v>
      </c>
    </row>
    <row r="861" spans="2:7" x14ac:dyDescent="0.15">
      <c r="B861" s="9" t="s">
        <v>869</v>
      </c>
      <c r="C861" s="4">
        <v>0.95</v>
      </c>
      <c r="F861" s="3" t="s">
        <v>1892</v>
      </c>
      <c r="G861" s="4">
        <v>1</v>
      </c>
    </row>
    <row r="862" spans="2:7" x14ac:dyDescent="0.15">
      <c r="B862" s="9" t="s">
        <v>870</v>
      </c>
      <c r="C862" s="4">
        <v>0.95</v>
      </c>
      <c r="F862" s="3" t="s">
        <v>1893</v>
      </c>
      <c r="G862" s="4">
        <v>1</v>
      </c>
    </row>
    <row r="863" spans="2:7" x14ac:dyDescent="0.15">
      <c r="B863" s="9" t="s">
        <v>871</v>
      </c>
      <c r="C863" s="4">
        <v>0.95</v>
      </c>
      <c r="F863" s="3" t="s">
        <v>1894</v>
      </c>
      <c r="G863" s="4">
        <v>1</v>
      </c>
    </row>
    <row r="864" spans="2:7" x14ac:dyDescent="0.15">
      <c r="B864" s="9" t="s">
        <v>872</v>
      </c>
      <c r="C864" s="4">
        <v>0.95</v>
      </c>
      <c r="F864" s="3" t="s">
        <v>1895</v>
      </c>
      <c r="G864" s="4">
        <v>1</v>
      </c>
    </row>
    <row r="865" spans="2:7" x14ac:dyDescent="0.15">
      <c r="B865" s="9" t="s">
        <v>873</v>
      </c>
      <c r="C865" s="4">
        <v>0.95</v>
      </c>
      <c r="F865" s="3" t="s">
        <v>1896</v>
      </c>
      <c r="G865" s="4">
        <v>1</v>
      </c>
    </row>
    <row r="866" spans="2:7" x14ac:dyDescent="0.15">
      <c r="B866" s="9" t="s">
        <v>874</v>
      </c>
      <c r="C866" s="4">
        <v>0.95</v>
      </c>
      <c r="F866" s="3" t="s">
        <v>1897</v>
      </c>
      <c r="G866" s="4">
        <v>1</v>
      </c>
    </row>
    <row r="867" spans="2:7" x14ac:dyDescent="0.15">
      <c r="B867" s="9" t="s">
        <v>875</v>
      </c>
      <c r="C867" s="4">
        <v>0.95</v>
      </c>
      <c r="F867" s="3" t="s">
        <v>1898</v>
      </c>
      <c r="G867" s="4">
        <v>1</v>
      </c>
    </row>
    <row r="868" spans="2:7" x14ac:dyDescent="0.15">
      <c r="B868" s="9" t="s">
        <v>876</v>
      </c>
      <c r="C868" s="4">
        <v>0.95</v>
      </c>
      <c r="F868" s="3" t="s">
        <v>1899</v>
      </c>
      <c r="G868" s="4">
        <v>1</v>
      </c>
    </row>
    <row r="869" spans="2:7" x14ac:dyDescent="0.15">
      <c r="B869" s="9" t="s">
        <v>877</v>
      </c>
      <c r="C869" s="4">
        <v>0.95</v>
      </c>
      <c r="F869" s="3" t="s">
        <v>1900</v>
      </c>
      <c r="G869" s="4">
        <v>1</v>
      </c>
    </row>
    <row r="870" spans="2:7" x14ac:dyDescent="0.15">
      <c r="B870" s="9" t="s">
        <v>878</v>
      </c>
      <c r="C870" s="4">
        <v>0.95</v>
      </c>
      <c r="F870" s="3" t="s">
        <v>1901</v>
      </c>
      <c r="G870" s="4">
        <v>1</v>
      </c>
    </row>
    <row r="871" spans="2:7" x14ac:dyDescent="0.15">
      <c r="B871" s="9" t="s">
        <v>879</v>
      </c>
      <c r="C871" s="4">
        <v>0.95</v>
      </c>
      <c r="F871" s="3" t="s">
        <v>1902</v>
      </c>
      <c r="G871" s="4">
        <v>1</v>
      </c>
    </row>
    <row r="872" spans="2:7" x14ac:dyDescent="0.15">
      <c r="B872" s="9" t="s">
        <v>880</v>
      </c>
      <c r="C872" s="4">
        <v>0.95</v>
      </c>
      <c r="F872" s="3" t="s">
        <v>1903</v>
      </c>
      <c r="G872" s="4">
        <v>1</v>
      </c>
    </row>
    <row r="873" spans="2:7" x14ac:dyDescent="0.15">
      <c r="B873" s="9" t="s">
        <v>881</v>
      </c>
      <c r="C873" s="4">
        <v>0.95</v>
      </c>
      <c r="F873" s="3" t="s">
        <v>1904</v>
      </c>
      <c r="G873" s="4">
        <v>1</v>
      </c>
    </row>
    <row r="874" spans="2:7" x14ac:dyDescent="0.15">
      <c r="B874" s="9" t="s">
        <v>882</v>
      </c>
      <c r="C874" s="4">
        <v>0.9</v>
      </c>
      <c r="F874" s="3" t="s">
        <v>1905</v>
      </c>
      <c r="G874" s="4">
        <v>1</v>
      </c>
    </row>
    <row r="875" spans="2:7" x14ac:dyDescent="0.15">
      <c r="B875" s="9" t="s">
        <v>883</v>
      </c>
      <c r="C875" s="4">
        <v>0.9</v>
      </c>
      <c r="F875" s="3" t="s">
        <v>1906</v>
      </c>
      <c r="G875" s="4">
        <v>1</v>
      </c>
    </row>
    <row r="876" spans="2:7" x14ac:dyDescent="0.15">
      <c r="B876" s="9" t="s">
        <v>884</v>
      </c>
      <c r="C876" s="4">
        <v>0.9</v>
      </c>
      <c r="F876" s="3" t="s">
        <v>1907</v>
      </c>
      <c r="G876" s="4">
        <v>1</v>
      </c>
    </row>
    <row r="877" spans="2:7" x14ac:dyDescent="0.15">
      <c r="B877" s="9" t="s">
        <v>885</v>
      </c>
      <c r="C877" s="4">
        <v>0.9</v>
      </c>
      <c r="F877" s="3" t="s">
        <v>1908</v>
      </c>
      <c r="G877" s="4">
        <v>1</v>
      </c>
    </row>
    <row r="878" spans="2:7" x14ac:dyDescent="0.15">
      <c r="B878" s="9" t="s">
        <v>886</v>
      </c>
      <c r="C878" s="4">
        <v>0.9</v>
      </c>
      <c r="F878" s="3" t="s">
        <v>1909</v>
      </c>
      <c r="G878" s="4">
        <v>1</v>
      </c>
    </row>
    <row r="879" spans="2:7" x14ac:dyDescent="0.15">
      <c r="B879" s="9" t="s">
        <v>887</v>
      </c>
      <c r="C879" s="4">
        <v>0.9</v>
      </c>
      <c r="F879" s="3" t="s">
        <v>1910</v>
      </c>
      <c r="G879" s="4">
        <v>1</v>
      </c>
    </row>
    <row r="880" spans="2:7" x14ac:dyDescent="0.15">
      <c r="B880" s="9" t="s">
        <v>888</v>
      </c>
      <c r="C880" s="4">
        <v>0.9</v>
      </c>
      <c r="F880" s="3" t="s">
        <v>1911</v>
      </c>
      <c r="G880" s="4">
        <v>1</v>
      </c>
    </row>
    <row r="881" spans="2:7" x14ac:dyDescent="0.15">
      <c r="B881" s="9" t="s">
        <v>889</v>
      </c>
      <c r="C881" s="4">
        <v>0.9</v>
      </c>
      <c r="F881" s="3" t="s">
        <v>1912</v>
      </c>
      <c r="G881" s="4">
        <v>1</v>
      </c>
    </row>
    <row r="882" spans="2:7" x14ac:dyDescent="0.15">
      <c r="B882" s="9" t="s">
        <v>890</v>
      </c>
      <c r="C882" s="4">
        <v>0.9</v>
      </c>
      <c r="F882" s="3" t="s">
        <v>1913</v>
      </c>
      <c r="G882" s="4">
        <v>1</v>
      </c>
    </row>
    <row r="883" spans="2:7" x14ac:dyDescent="0.15">
      <c r="B883" s="9" t="s">
        <v>891</v>
      </c>
      <c r="C883" s="4">
        <v>0.9</v>
      </c>
      <c r="F883" s="3" t="s">
        <v>1914</v>
      </c>
      <c r="G883" s="4">
        <v>1</v>
      </c>
    </row>
    <row r="884" spans="2:7" x14ac:dyDescent="0.15">
      <c r="B884" s="9" t="s">
        <v>892</v>
      </c>
      <c r="C884" s="4">
        <v>0.9</v>
      </c>
      <c r="F884" s="3" t="s">
        <v>1915</v>
      </c>
      <c r="G884" s="4">
        <v>1</v>
      </c>
    </row>
    <row r="885" spans="2:7" x14ac:dyDescent="0.15">
      <c r="B885" s="9" t="s">
        <v>893</v>
      </c>
      <c r="C885" s="4">
        <v>0.9</v>
      </c>
      <c r="F885" s="3" t="s">
        <v>1916</v>
      </c>
      <c r="G885" s="4">
        <v>1</v>
      </c>
    </row>
    <row r="886" spans="2:7" x14ac:dyDescent="0.15">
      <c r="B886" s="9" t="s">
        <v>894</v>
      </c>
      <c r="C886" s="4">
        <v>0.9</v>
      </c>
      <c r="F886" s="3" t="s">
        <v>1917</v>
      </c>
      <c r="G886" s="4">
        <v>1</v>
      </c>
    </row>
    <row r="887" spans="2:7" x14ac:dyDescent="0.15">
      <c r="B887" s="9" t="s">
        <v>895</v>
      </c>
      <c r="C887" s="4">
        <v>0.9</v>
      </c>
      <c r="F887" s="3" t="s">
        <v>1918</v>
      </c>
      <c r="G887" s="4">
        <v>1</v>
      </c>
    </row>
    <row r="888" spans="2:7" x14ac:dyDescent="0.15">
      <c r="B888" s="9" t="s">
        <v>896</v>
      </c>
      <c r="C888" s="4">
        <v>0.9</v>
      </c>
      <c r="F888" s="3" t="s">
        <v>1919</v>
      </c>
      <c r="G888" s="4">
        <v>1</v>
      </c>
    </row>
    <row r="889" spans="2:7" x14ac:dyDescent="0.15">
      <c r="B889" s="9" t="s">
        <v>897</v>
      </c>
      <c r="C889" s="4">
        <v>0.9</v>
      </c>
      <c r="F889" s="3" t="s">
        <v>1920</v>
      </c>
      <c r="G889" s="4">
        <v>1</v>
      </c>
    </row>
    <row r="890" spans="2:7" x14ac:dyDescent="0.15">
      <c r="B890" s="9" t="s">
        <v>898</v>
      </c>
      <c r="C890" s="4">
        <v>0.9</v>
      </c>
      <c r="F890" s="3" t="s">
        <v>1921</v>
      </c>
      <c r="G890" s="4">
        <v>1</v>
      </c>
    </row>
    <row r="891" spans="2:7" x14ac:dyDescent="0.15">
      <c r="B891" s="9" t="s">
        <v>899</v>
      </c>
      <c r="C891" s="4">
        <v>0.9</v>
      </c>
      <c r="F891" s="3" t="s">
        <v>1922</v>
      </c>
      <c r="G891" s="4">
        <v>1</v>
      </c>
    </row>
    <row r="892" spans="2:7" x14ac:dyDescent="0.15">
      <c r="B892" s="9" t="s">
        <v>900</v>
      </c>
      <c r="C892" s="4">
        <v>0.9</v>
      </c>
      <c r="F892" s="3" t="s">
        <v>1923</v>
      </c>
      <c r="G892" s="4">
        <v>1</v>
      </c>
    </row>
    <row r="893" spans="2:7" x14ac:dyDescent="0.15">
      <c r="B893" s="9" t="s">
        <v>901</v>
      </c>
      <c r="C893" s="4">
        <v>0.9</v>
      </c>
      <c r="F893" s="3" t="s">
        <v>1924</v>
      </c>
      <c r="G893" s="4">
        <v>1</v>
      </c>
    </row>
    <row r="894" spans="2:7" x14ac:dyDescent="0.15">
      <c r="B894" s="9" t="s">
        <v>902</v>
      </c>
      <c r="C894" s="4">
        <v>0.9</v>
      </c>
      <c r="F894" s="3" t="s">
        <v>1925</v>
      </c>
      <c r="G894" s="4">
        <v>1</v>
      </c>
    </row>
    <row r="895" spans="2:7" x14ac:dyDescent="0.15">
      <c r="B895" s="9" t="s">
        <v>903</v>
      </c>
      <c r="C895" s="4">
        <v>0.9</v>
      </c>
      <c r="F895" s="3" t="s">
        <v>1926</v>
      </c>
      <c r="G895" s="4">
        <v>1</v>
      </c>
    </row>
    <row r="896" spans="2:7" x14ac:dyDescent="0.15">
      <c r="B896" s="9" t="s">
        <v>904</v>
      </c>
      <c r="C896" s="4">
        <v>0.9</v>
      </c>
      <c r="F896" s="3" t="s">
        <v>1927</v>
      </c>
      <c r="G896" s="4">
        <v>1</v>
      </c>
    </row>
    <row r="897" spans="2:7" x14ac:dyDescent="0.15">
      <c r="B897" s="9" t="s">
        <v>905</v>
      </c>
      <c r="C897" s="4">
        <v>0.9</v>
      </c>
      <c r="F897" s="3" t="s">
        <v>1928</v>
      </c>
      <c r="G897" s="4">
        <v>1</v>
      </c>
    </row>
    <row r="898" spans="2:7" x14ac:dyDescent="0.15">
      <c r="B898" s="9" t="s">
        <v>906</v>
      </c>
      <c r="C898" s="4">
        <v>0.9</v>
      </c>
      <c r="F898" s="3" t="s">
        <v>1929</v>
      </c>
      <c r="G898" s="4">
        <v>1</v>
      </c>
    </row>
    <row r="899" spans="2:7" x14ac:dyDescent="0.15">
      <c r="B899" s="9" t="s">
        <v>907</v>
      </c>
      <c r="C899" s="4">
        <v>0.9</v>
      </c>
      <c r="F899" s="3" t="s">
        <v>1930</v>
      </c>
      <c r="G899" s="4">
        <v>1</v>
      </c>
    </row>
    <row r="900" spans="2:7" x14ac:dyDescent="0.15">
      <c r="B900" s="9" t="s">
        <v>908</v>
      </c>
      <c r="C900" s="4">
        <v>1</v>
      </c>
      <c r="F900" s="3" t="s">
        <v>1931</v>
      </c>
      <c r="G900" s="4">
        <v>1</v>
      </c>
    </row>
    <row r="901" spans="2:7" x14ac:dyDescent="0.15">
      <c r="B901" s="9" t="s">
        <v>909</v>
      </c>
      <c r="C901" s="4">
        <v>1</v>
      </c>
      <c r="F901" s="3" t="s">
        <v>1932</v>
      </c>
      <c r="G901" s="4">
        <v>1</v>
      </c>
    </row>
    <row r="902" spans="2:7" x14ac:dyDescent="0.15">
      <c r="B902" s="9" t="s">
        <v>910</v>
      </c>
      <c r="C902" s="4">
        <v>1</v>
      </c>
      <c r="F902" s="3" t="s">
        <v>1933</v>
      </c>
      <c r="G902" s="4">
        <v>1</v>
      </c>
    </row>
    <row r="903" spans="2:7" x14ac:dyDescent="0.15">
      <c r="B903" s="9" t="s">
        <v>911</v>
      </c>
      <c r="C903" s="4">
        <v>1</v>
      </c>
      <c r="F903" s="3" t="s">
        <v>1934</v>
      </c>
      <c r="G903" s="4">
        <v>1</v>
      </c>
    </row>
    <row r="904" spans="2:7" x14ac:dyDescent="0.15">
      <c r="B904" s="9" t="s">
        <v>912</v>
      </c>
      <c r="C904" s="4">
        <v>1</v>
      </c>
      <c r="F904" s="3" t="s">
        <v>1935</v>
      </c>
      <c r="G904" s="4">
        <v>1</v>
      </c>
    </row>
    <row r="905" spans="2:7" x14ac:dyDescent="0.15">
      <c r="B905" s="9" t="s">
        <v>913</v>
      </c>
      <c r="C905" s="4">
        <v>0.9</v>
      </c>
      <c r="F905" s="3" t="s">
        <v>1936</v>
      </c>
      <c r="G905" s="4">
        <v>1</v>
      </c>
    </row>
    <row r="906" spans="2:7" x14ac:dyDescent="0.15">
      <c r="B906" s="9" t="s">
        <v>914</v>
      </c>
      <c r="C906" s="4">
        <v>0.9</v>
      </c>
      <c r="F906" s="3" t="s">
        <v>1937</v>
      </c>
      <c r="G906" s="4">
        <v>1</v>
      </c>
    </row>
    <row r="907" spans="2:7" x14ac:dyDescent="0.15">
      <c r="B907" s="9" t="s">
        <v>915</v>
      </c>
      <c r="C907" s="4">
        <v>0.85</v>
      </c>
      <c r="F907" s="3" t="s">
        <v>1938</v>
      </c>
      <c r="G907" s="4">
        <v>1</v>
      </c>
    </row>
    <row r="908" spans="2:7" x14ac:dyDescent="0.15">
      <c r="B908" s="9" t="s">
        <v>916</v>
      </c>
      <c r="C908" s="4">
        <v>0.85</v>
      </c>
      <c r="F908" s="3" t="s">
        <v>1939</v>
      </c>
      <c r="G908" s="4">
        <v>1</v>
      </c>
    </row>
    <row r="909" spans="2:7" x14ac:dyDescent="0.15">
      <c r="B909" s="9" t="s">
        <v>917</v>
      </c>
      <c r="C909" s="4">
        <v>0.85</v>
      </c>
      <c r="F909" s="3" t="s">
        <v>1940</v>
      </c>
      <c r="G909" s="4">
        <v>1</v>
      </c>
    </row>
    <row r="910" spans="2:7" x14ac:dyDescent="0.15">
      <c r="B910" s="9" t="s">
        <v>918</v>
      </c>
      <c r="C910" s="4">
        <v>0.85</v>
      </c>
      <c r="F910" s="3" t="s">
        <v>1941</v>
      </c>
      <c r="G910" s="4">
        <v>1</v>
      </c>
    </row>
    <row r="911" spans="2:7" x14ac:dyDescent="0.15">
      <c r="B911" s="9" t="s">
        <v>919</v>
      </c>
      <c r="C911" s="4">
        <v>0.85</v>
      </c>
      <c r="F911" s="3" t="s">
        <v>1942</v>
      </c>
      <c r="G911" s="4">
        <v>1</v>
      </c>
    </row>
    <row r="912" spans="2:7" x14ac:dyDescent="0.15">
      <c r="B912" s="9" t="s">
        <v>920</v>
      </c>
      <c r="C912" s="4">
        <v>0.85</v>
      </c>
      <c r="F912" s="3" t="s">
        <v>1943</v>
      </c>
      <c r="G912" s="4">
        <v>1</v>
      </c>
    </row>
    <row r="913" spans="2:7" x14ac:dyDescent="0.15">
      <c r="B913" s="9" t="s">
        <v>921</v>
      </c>
      <c r="C913" s="4">
        <v>0.85</v>
      </c>
      <c r="F913" s="3" t="s">
        <v>1944</v>
      </c>
      <c r="G913" s="4">
        <v>1</v>
      </c>
    </row>
    <row r="914" spans="2:7" x14ac:dyDescent="0.15">
      <c r="B914" s="9" t="s">
        <v>922</v>
      </c>
      <c r="C914" s="4">
        <v>0.85</v>
      </c>
      <c r="F914" s="3" t="s">
        <v>1945</v>
      </c>
      <c r="G914" s="4">
        <v>1</v>
      </c>
    </row>
    <row r="915" spans="2:7" x14ac:dyDescent="0.15">
      <c r="B915" s="9" t="s">
        <v>923</v>
      </c>
      <c r="C915" s="4">
        <v>0.85</v>
      </c>
      <c r="F915" s="3" t="s">
        <v>1946</v>
      </c>
      <c r="G915" s="4">
        <v>1</v>
      </c>
    </row>
    <row r="916" spans="2:7" x14ac:dyDescent="0.15">
      <c r="B916" s="9" t="s">
        <v>924</v>
      </c>
      <c r="C916" s="4">
        <v>1</v>
      </c>
      <c r="F916" s="3" t="s">
        <v>1947</v>
      </c>
      <c r="G916" s="4">
        <v>1</v>
      </c>
    </row>
    <row r="917" spans="2:7" x14ac:dyDescent="0.15">
      <c r="B917" s="9" t="s">
        <v>925</v>
      </c>
      <c r="C917" s="4">
        <v>1</v>
      </c>
      <c r="F917" s="3" t="s">
        <v>1948</v>
      </c>
      <c r="G917" s="4">
        <v>1</v>
      </c>
    </row>
    <row r="918" spans="2:7" x14ac:dyDescent="0.15">
      <c r="B918" s="9" t="s">
        <v>926</v>
      </c>
      <c r="C918" s="4">
        <v>1</v>
      </c>
      <c r="F918" s="3" t="s">
        <v>1949</v>
      </c>
      <c r="G918" s="4">
        <v>1</v>
      </c>
    </row>
    <row r="919" spans="2:7" x14ac:dyDescent="0.15">
      <c r="B919" s="9" t="s">
        <v>927</v>
      </c>
      <c r="C919" s="4">
        <v>1</v>
      </c>
      <c r="F919" s="3" t="s">
        <v>1950</v>
      </c>
      <c r="G919" s="4">
        <v>1</v>
      </c>
    </row>
    <row r="920" spans="2:7" x14ac:dyDescent="0.15">
      <c r="B920" s="9" t="s">
        <v>928</v>
      </c>
      <c r="C920" s="4">
        <v>1</v>
      </c>
      <c r="F920" s="3" t="s">
        <v>1951</v>
      </c>
      <c r="G920" s="4">
        <v>1</v>
      </c>
    </row>
    <row r="921" spans="2:7" x14ac:dyDescent="0.15">
      <c r="B921" s="9" t="s">
        <v>929</v>
      </c>
      <c r="C921" s="4">
        <v>1</v>
      </c>
      <c r="F921" s="3" t="s">
        <v>1952</v>
      </c>
      <c r="G921" s="4">
        <v>1</v>
      </c>
    </row>
    <row r="922" spans="2:7" x14ac:dyDescent="0.15">
      <c r="B922" s="9" t="s">
        <v>930</v>
      </c>
      <c r="C922" s="4">
        <v>1</v>
      </c>
      <c r="F922" s="3" t="s">
        <v>1953</v>
      </c>
      <c r="G922" s="4">
        <v>1</v>
      </c>
    </row>
    <row r="923" spans="2:7" x14ac:dyDescent="0.15">
      <c r="B923" s="9" t="s">
        <v>931</v>
      </c>
      <c r="C923" s="4">
        <v>1</v>
      </c>
      <c r="F923" s="3" t="s">
        <v>1954</v>
      </c>
      <c r="G923" s="4">
        <v>1</v>
      </c>
    </row>
    <row r="924" spans="2:7" x14ac:dyDescent="0.15">
      <c r="B924" s="9" t="s">
        <v>932</v>
      </c>
      <c r="C924" s="4">
        <v>1</v>
      </c>
      <c r="F924" s="3" t="s">
        <v>1955</v>
      </c>
      <c r="G924" s="4">
        <v>1</v>
      </c>
    </row>
    <row r="925" spans="2:7" x14ac:dyDescent="0.15">
      <c r="B925" s="9" t="s">
        <v>933</v>
      </c>
      <c r="C925" s="4">
        <v>1</v>
      </c>
      <c r="F925" s="3" t="s">
        <v>1956</v>
      </c>
      <c r="G925" s="4">
        <v>1</v>
      </c>
    </row>
    <row r="926" spans="2:7" x14ac:dyDescent="0.15">
      <c r="B926" s="9" t="s">
        <v>934</v>
      </c>
      <c r="C926" s="4">
        <v>1</v>
      </c>
      <c r="F926" s="3" t="s">
        <v>1957</v>
      </c>
      <c r="G926" s="4">
        <v>1</v>
      </c>
    </row>
    <row r="927" spans="2:7" x14ac:dyDescent="0.15">
      <c r="B927" s="9" t="s">
        <v>935</v>
      </c>
      <c r="C927" s="4">
        <v>1</v>
      </c>
      <c r="F927" s="3" t="s">
        <v>1958</v>
      </c>
      <c r="G927" s="4">
        <v>1</v>
      </c>
    </row>
    <row r="928" spans="2:7" x14ac:dyDescent="0.15">
      <c r="B928" s="9" t="s">
        <v>936</v>
      </c>
      <c r="C928" s="4">
        <v>1</v>
      </c>
      <c r="F928" s="3" t="s">
        <v>1959</v>
      </c>
      <c r="G928" s="4">
        <v>1</v>
      </c>
    </row>
    <row r="929" spans="2:7" x14ac:dyDescent="0.15">
      <c r="B929" s="9" t="s">
        <v>937</v>
      </c>
      <c r="C929" s="4">
        <v>1</v>
      </c>
      <c r="F929" s="3" t="s">
        <v>1960</v>
      </c>
      <c r="G929" s="4">
        <v>1</v>
      </c>
    </row>
    <row r="930" spans="2:7" x14ac:dyDescent="0.15">
      <c r="B930" s="9" t="s">
        <v>938</v>
      </c>
      <c r="C930" s="4">
        <v>1</v>
      </c>
      <c r="F930" s="3" t="s">
        <v>1961</v>
      </c>
      <c r="G930" s="4">
        <v>1</v>
      </c>
    </row>
    <row r="931" spans="2:7" x14ac:dyDescent="0.15">
      <c r="B931" s="9" t="s">
        <v>939</v>
      </c>
      <c r="C931" s="4">
        <v>1</v>
      </c>
      <c r="F931" s="3" t="s">
        <v>1962</v>
      </c>
      <c r="G931" s="4">
        <v>1</v>
      </c>
    </row>
    <row r="932" spans="2:7" x14ac:dyDescent="0.15">
      <c r="B932" s="9" t="s">
        <v>940</v>
      </c>
      <c r="C932" s="4">
        <v>1</v>
      </c>
      <c r="F932" s="3" t="s">
        <v>1963</v>
      </c>
      <c r="G932" s="4">
        <v>1</v>
      </c>
    </row>
    <row r="933" spans="2:7" x14ac:dyDescent="0.15">
      <c r="B933" s="9" t="s">
        <v>941</v>
      </c>
      <c r="C933" s="4">
        <v>1</v>
      </c>
      <c r="F933" s="3" t="s">
        <v>1964</v>
      </c>
      <c r="G933" s="4">
        <v>1</v>
      </c>
    </row>
    <row r="934" spans="2:7" x14ac:dyDescent="0.15">
      <c r="B934" s="9" t="s">
        <v>942</v>
      </c>
      <c r="C934" s="4">
        <v>1</v>
      </c>
      <c r="F934" s="3" t="s">
        <v>1965</v>
      </c>
      <c r="G934" s="4">
        <v>1</v>
      </c>
    </row>
    <row r="935" spans="2:7" x14ac:dyDescent="0.15">
      <c r="B935" s="9" t="s">
        <v>943</v>
      </c>
      <c r="C935" s="4">
        <v>1.1000000000000001</v>
      </c>
      <c r="F935" s="3" t="s">
        <v>1966</v>
      </c>
      <c r="G935" s="4">
        <v>1</v>
      </c>
    </row>
    <row r="936" spans="2:7" x14ac:dyDescent="0.15">
      <c r="B936" s="9" t="s">
        <v>944</v>
      </c>
      <c r="C936" s="4">
        <v>1.1000000000000001</v>
      </c>
      <c r="F936" s="3" t="s">
        <v>1967</v>
      </c>
      <c r="G936" s="4">
        <v>1</v>
      </c>
    </row>
    <row r="937" spans="2:7" x14ac:dyDescent="0.15">
      <c r="B937" s="9" t="s">
        <v>945</v>
      </c>
      <c r="C937" s="4">
        <v>1.1000000000000001</v>
      </c>
      <c r="F937" s="3" t="s">
        <v>1968</v>
      </c>
      <c r="G937" s="4">
        <v>1</v>
      </c>
    </row>
    <row r="938" spans="2:7" x14ac:dyDescent="0.15">
      <c r="B938" s="9" t="s">
        <v>946</v>
      </c>
      <c r="C938" s="4">
        <v>1.1000000000000001</v>
      </c>
      <c r="F938" s="3" t="s">
        <v>1969</v>
      </c>
      <c r="G938" s="4">
        <v>1</v>
      </c>
    </row>
    <row r="939" spans="2:7" x14ac:dyDescent="0.15">
      <c r="B939" s="9" t="s">
        <v>947</v>
      </c>
      <c r="C939" s="4">
        <v>1.1000000000000001</v>
      </c>
      <c r="F939" s="3" t="s">
        <v>1970</v>
      </c>
      <c r="G939" s="4">
        <v>1</v>
      </c>
    </row>
    <row r="940" spans="2:7" x14ac:dyDescent="0.15">
      <c r="B940" s="9" t="s">
        <v>948</v>
      </c>
      <c r="C940" s="4">
        <v>1.1000000000000001</v>
      </c>
      <c r="F940" s="3" t="s">
        <v>1971</v>
      </c>
      <c r="G940" s="4">
        <v>1</v>
      </c>
    </row>
    <row r="941" spans="2:7" x14ac:dyDescent="0.15">
      <c r="B941" s="9" t="s">
        <v>949</v>
      </c>
      <c r="C941" s="4">
        <v>1.1000000000000001</v>
      </c>
      <c r="F941" s="3" t="s">
        <v>1972</v>
      </c>
      <c r="G941" s="4">
        <v>1</v>
      </c>
    </row>
    <row r="942" spans="2:7" x14ac:dyDescent="0.15">
      <c r="B942" s="9" t="s">
        <v>950</v>
      </c>
      <c r="C942" s="4">
        <v>1.1000000000000001</v>
      </c>
      <c r="F942" s="3" t="s">
        <v>1973</v>
      </c>
      <c r="G942" s="4">
        <v>1</v>
      </c>
    </row>
    <row r="943" spans="2:7" x14ac:dyDescent="0.15">
      <c r="B943" s="9" t="s">
        <v>951</v>
      </c>
      <c r="C943" s="4">
        <v>0.95</v>
      </c>
      <c r="F943" s="5"/>
      <c r="G943" s="17" t="s">
        <v>1974</v>
      </c>
    </row>
    <row r="944" spans="2:7" x14ac:dyDescent="0.15">
      <c r="B944" s="9" t="s">
        <v>952</v>
      </c>
      <c r="C944" s="4">
        <v>0.95</v>
      </c>
    </row>
    <row r="945" spans="2:3" x14ac:dyDescent="0.15">
      <c r="B945" s="9" t="s">
        <v>953</v>
      </c>
      <c r="C945" s="4">
        <v>0.95</v>
      </c>
    </row>
    <row r="946" spans="2:3" x14ac:dyDescent="0.15">
      <c r="B946" s="9" t="s">
        <v>954</v>
      </c>
      <c r="C946" s="4">
        <v>0.95</v>
      </c>
    </row>
    <row r="947" spans="2:3" x14ac:dyDescent="0.15">
      <c r="B947" s="9" t="s">
        <v>955</v>
      </c>
      <c r="C947" s="4">
        <v>0.95</v>
      </c>
    </row>
    <row r="948" spans="2:3" x14ac:dyDescent="0.15">
      <c r="B948" s="9" t="s">
        <v>956</v>
      </c>
      <c r="C948" s="4">
        <v>0.95</v>
      </c>
    </row>
    <row r="949" spans="2:3" x14ac:dyDescent="0.15">
      <c r="B949" s="9" t="s">
        <v>957</v>
      </c>
      <c r="C949" s="4">
        <v>0.95</v>
      </c>
    </row>
    <row r="950" spans="2:3" x14ac:dyDescent="0.15">
      <c r="B950" s="9" t="s">
        <v>958</v>
      </c>
      <c r="C950" s="4">
        <v>0.95</v>
      </c>
    </row>
    <row r="951" spans="2:3" x14ac:dyDescent="0.15">
      <c r="B951" s="9" t="s">
        <v>959</v>
      </c>
      <c r="C951" s="4">
        <v>0.95</v>
      </c>
    </row>
    <row r="952" spans="2:3" x14ac:dyDescent="0.15">
      <c r="B952" s="9" t="s">
        <v>960</v>
      </c>
      <c r="C952" s="4">
        <v>0.95</v>
      </c>
    </row>
    <row r="953" spans="2:3" x14ac:dyDescent="0.15">
      <c r="B953" s="9" t="s">
        <v>961</v>
      </c>
      <c r="C953" s="4">
        <v>0.95</v>
      </c>
    </row>
    <row r="954" spans="2:3" x14ac:dyDescent="0.15">
      <c r="B954" s="9" t="s">
        <v>962</v>
      </c>
      <c r="C954" s="4">
        <v>0.95</v>
      </c>
    </row>
    <row r="955" spans="2:3" x14ac:dyDescent="0.15">
      <c r="B955" s="9" t="s">
        <v>963</v>
      </c>
      <c r="C955" s="4">
        <v>0.95</v>
      </c>
    </row>
    <row r="956" spans="2:3" x14ac:dyDescent="0.15">
      <c r="B956" s="9" t="s">
        <v>964</v>
      </c>
      <c r="C956" s="4">
        <v>0.95</v>
      </c>
    </row>
    <row r="957" spans="2:3" x14ac:dyDescent="0.15">
      <c r="B957" s="9" t="s">
        <v>965</v>
      </c>
      <c r="C957" s="4">
        <v>0.95</v>
      </c>
    </row>
    <row r="958" spans="2:3" x14ac:dyDescent="0.15">
      <c r="B958" s="9" t="s">
        <v>966</v>
      </c>
      <c r="C958" s="4">
        <v>0.95</v>
      </c>
    </row>
    <row r="959" spans="2:3" x14ac:dyDescent="0.15">
      <c r="B959" s="9" t="s">
        <v>967</v>
      </c>
      <c r="C959" s="4">
        <v>0.95</v>
      </c>
    </row>
    <row r="960" spans="2:3" x14ac:dyDescent="0.15">
      <c r="B960" s="9" t="s">
        <v>968</v>
      </c>
      <c r="C960" s="4">
        <v>0.95</v>
      </c>
    </row>
    <row r="961" spans="2:3" x14ac:dyDescent="0.15">
      <c r="B961" s="9" t="s">
        <v>969</v>
      </c>
      <c r="C961" s="4">
        <v>0.95</v>
      </c>
    </row>
    <row r="962" spans="2:3" x14ac:dyDescent="0.15">
      <c r="B962" s="9" t="s">
        <v>970</v>
      </c>
      <c r="C962" s="4">
        <v>0.75</v>
      </c>
    </row>
    <row r="963" spans="2:3" x14ac:dyDescent="0.15">
      <c r="B963" s="9" t="s">
        <v>971</v>
      </c>
      <c r="C963" s="4">
        <v>0.75</v>
      </c>
    </row>
    <row r="964" spans="2:3" x14ac:dyDescent="0.15">
      <c r="B964" s="9" t="s">
        <v>972</v>
      </c>
      <c r="C964" s="4">
        <v>0.75</v>
      </c>
    </row>
    <row r="965" spans="2:3" x14ac:dyDescent="0.15">
      <c r="B965" s="9" t="s">
        <v>973</v>
      </c>
      <c r="C965" s="4">
        <v>0.75</v>
      </c>
    </row>
    <row r="966" spans="2:3" x14ac:dyDescent="0.15">
      <c r="B966" s="9" t="s">
        <v>974</v>
      </c>
      <c r="C966" s="4">
        <v>0.75</v>
      </c>
    </row>
    <row r="967" spans="2:3" x14ac:dyDescent="0.15">
      <c r="B967" s="9" t="s">
        <v>975</v>
      </c>
      <c r="C967" s="4">
        <v>0.75</v>
      </c>
    </row>
    <row r="968" spans="2:3" x14ac:dyDescent="0.15">
      <c r="B968" s="9" t="s">
        <v>976</v>
      </c>
      <c r="C968" s="4">
        <v>0.75</v>
      </c>
    </row>
    <row r="969" spans="2:3" x14ac:dyDescent="0.15">
      <c r="B969" s="9" t="s">
        <v>977</v>
      </c>
      <c r="C969" s="4">
        <v>0.85</v>
      </c>
    </row>
    <row r="970" spans="2:3" x14ac:dyDescent="0.15">
      <c r="B970" s="9" t="s">
        <v>978</v>
      </c>
      <c r="C970" s="4">
        <v>0.85</v>
      </c>
    </row>
    <row r="971" spans="2:3" x14ac:dyDescent="0.15">
      <c r="B971" s="9" t="s">
        <v>979</v>
      </c>
      <c r="C971" s="4">
        <v>0.85</v>
      </c>
    </row>
    <row r="972" spans="2:3" x14ac:dyDescent="0.15">
      <c r="B972" s="9" t="s">
        <v>980</v>
      </c>
      <c r="C972" s="4">
        <v>0.85</v>
      </c>
    </row>
    <row r="973" spans="2:3" x14ac:dyDescent="0.15">
      <c r="B973" s="9" t="s">
        <v>981</v>
      </c>
      <c r="C973" s="4">
        <v>0.85</v>
      </c>
    </row>
    <row r="974" spans="2:3" x14ac:dyDescent="0.15">
      <c r="B974" s="9" t="s">
        <v>982</v>
      </c>
      <c r="C974" s="4">
        <v>0.85</v>
      </c>
    </row>
    <row r="975" spans="2:3" x14ac:dyDescent="0.15">
      <c r="B975" s="9" t="s">
        <v>983</v>
      </c>
      <c r="C975" s="4">
        <v>0.75</v>
      </c>
    </row>
    <row r="976" spans="2:3" x14ac:dyDescent="0.15">
      <c r="B976" s="9" t="s">
        <v>984</v>
      </c>
      <c r="C976" s="4">
        <v>0.75</v>
      </c>
    </row>
    <row r="977" spans="2:3" x14ac:dyDescent="0.15">
      <c r="B977" s="9" t="s">
        <v>985</v>
      </c>
      <c r="C977" s="4">
        <v>0.75</v>
      </c>
    </row>
    <row r="978" spans="2:3" x14ac:dyDescent="0.15">
      <c r="B978" s="9" t="s">
        <v>986</v>
      </c>
      <c r="C978" s="4">
        <v>0.75</v>
      </c>
    </row>
    <row r="979" spans="2:3" x14ac:dyDescent="0.15">
      <c r="B979" s="9" t="s">
        <v>987</v>
      </c>
      <c r="C979" s="4">
        <v>0.75</v>
      </c>
    </row>
    <row r="980" spans="2:3" x14ac:dyDescent="0.15">
      <c r="B980" s="9" t="s">
        <v>988</v>
      </c>
      <c r="C980" s="4">
        <v>0.75</v>
      </c>
    </row>
    <row r="981" spans="2:3" x14ac:dyDescent="0.15">
      <c r="B981" s="9" t="s">
        <v>989</v>
      </c>
      <c r="C981" s="4">
        <v>0.7</v>
      </c>
    </row>
    <row r="982" spans="2:3" x14ac:dyDescent="0.15">
      <c r="B982" s="9" t="s">
        <v>990</v>
      </c>
      <c r="C982" s="4">
        <v>0.8</v>
      </c>
    </row>
    <row r="983" spans="2:3" x14ac:dyDescent="0.15">
      <c r="B983" s="9" t="s">
        <v>991</v>
      </c>
      <c r="C983" s="4">
        <v>0.8</v>
      </c>
    </row>
    <row r="984" spans="2:3" x14ac:dyDescent="0.15">
      <c r="B984" s="9" t="s">
        <v>992</v>
      </c>
      <c r="C984" s="4">
        <v>0.8</v>
      </c>
    </row>
    <row r="985" spans="2:3" x14ac:dyDescent="0.15">
      <c r="B985" s="9" t="s">
        <v>993</v>
      </c>
      <c r="C985" s="4">
        <v>0.8</v>
      </c>
    </row>
    <row r="986" spans="2:3" x14ac:dyDescent="0.15">
      <c r="B986" s="9" t="s">
        <v>994</v>
      </c>
      <c r="C986" s="4">
        <v>0.8</v>
      </c>
    </row>
    <row r="987" spans="2:3" x14ac:dyDescent="0.15">
      <c r="B987" s="9" t="s">
        <v>995</v>
      </c>
      <c r="C987" s="4">
        <v>0.8</v>
      </c>
    </row>
    <row r="988" spans="2:3" x14ac:dyDescent="0.15">
      <c r="B988" s="9" t="s">
        <v>996</v>
      </c>
      <c r="C988" s="4">
        <v>0.8</v>
      </c>
    </row>
    <row r="989" spans="2:3" x14ac:dyDescent="0.15">
      <c r="B989" s="9" t="s">
        <v>997</v>
      </c>
      <c r="C989" s="4">
        <v>0.8</v>
      </c>
    </row>
    <row r="990" spans="2:3" x14ac:dyDescent="0.15">
      <c r="B990" s="9" t="s">
        <v>998</v>
      </c>
      <c r="C990" s="4">
        <v>1</v>
      </c>
    </row>
    <row r="991" spans="2:3" x14ac:dyDescent="0.15">
      <c r="B991" s="9" t="s">
        <v>999</v>
      </c>
      <c r="C991" s="4">
        <v>1.1000000000000001</v>
      </c>
    </row>
    <row r="992" spans="2:3" x14ac:dyDescent="0.15">
      <c r="B992" s="9" t="s">
        <v>1000</v>
      </c>
      <c r="C992" s="4">
        <v>1</v>
      </c>
    </row>
    <row r="993" spans="2:3" x14ac:dyDescent="0.15">
      <c r="B993" s="9" t="s">
        <v>1001</v>
      </c>
      <c r="C993" s="4">
        <v>1.1000000000000001</v>
      </c>
    </row>
    <row r="994" spans="2:3" x14ac:dyDescent="0.15">
      <c r="B994" s="9" t="s">
        <v>1002</v>
      </c>
      <c r="C994" s="4">
        <v>1</v>
      </c>
    </row>
    <row r="995" spans="2:3" x14ac:dyDescent="0.15">
      <c r="B995" s="9" t="s">
        <v>1003</v>
      </c>
      <c r="C995" s="4">
        <v>1</v>
      </c>
    </row>
    <row r="996" spans="2:3" x14ac:dyDescent="0.15">
      <c r="B996" s="9" t="s">
        <v>1004</v>
      </c>
      <c r="C996" s="4">
        <v>1</v>
      </c>
    </row>
    <row r="997" spans="2:3" x14ac:dyDescent="0.15">
      <c r="B997" s="9" t="s">
        <v>1005</v>
      </c>
      <c r="C997" s="4">
        <v>0.9</v>
      </c>
    </row>
    <row r="998" spans="2:3" x14ac:dyDescent="0.15">
      <c r="B998" s="9" t="s">
        <v>1006</v>
      </c>
      <c r="C998" s="4">
        <v>0.9</v>
      </c>
    </row>
    <row r="999" spans="2:3" x14ac:dyDescent="0.15">
      <c r="B999" s="9" t="s">
        <v>1007</v>
      </c>
      <c r="C999" s="4">
        <v>1.1499999999999999</v>
      </c>
    </row>
    <row r="1000" spans="2:3" x14ac:dyDescent="0.15">
      <c r="B1000" s="9" t="s">
        <v>1008</v>
      </c>
      <c r="C1000" s="4">
        <v>1</v>
      </c>
    </row>
    <row r="1001" spans="2:3" x14ac:dyDescent="0.15">
      <c r="B1001" s="9" t="s">
        <v>1009</v>
      </c>
      <c r="C1001" s="4">
        <v>1</v>
      </c>
    </row>
    <row r="1002" spans="2:3" x14ac:dyDescent="0.15">
      <c r="B1002" s="9" t="s">
        <v>1010</v>
      </c>
      <c r="C1002" s="4">
        <v>0.69</v>
      </c>
    </row>
    <row r="1003" spans="2:3" x14ac:dyDescent="0.15">
      <c r="B1003" s="9" t="s">
        <v>1011</v>
      </c>
      <c r="C1003" s="4">
        <v>0.85</v>
      </c>
    </row>
    <row r="1004" spans="2:3" x14ac:dyDescent="0.15">
      <c r="B1004" s="9" t="s">
        <v>1012</v>
      </c>
      <c r="C1004" s="4">
        <v>0.75</v>
      </c>
    </row>
    <row r="1005" spans="2:3" x14ac:dyDescent="0.15">
      <c r="B1005" s="9" t="s">
        <v>1013</v>
      </c>
      <c r="C1005" s="4">
        <v>0.75</v>
      </c>
    </row>
    <row r="1006" spans="2:3" x14ac:dyDescent="0.15">
      <c r="B1006" s="9" t="s">
        <v>1014</v>
      </c>
      <c r="C1006" s="4">
        <v>0.75</v>
      </c>
    </row>
    <row r="1007" spans="2:3" x14ac:dyDescent="0.15">
      <c r="B1007" s="9" t="s">
        <v>1015</v>
      </c>
      <c r="C1007" s="4">
        <v>0.75</v>
      </c>
    </row>
    <row r="1008" spans="2:3" x14ac:dyDescent="0.15">
      <c r="B1008" s="9" t="s">
        <v>1016</v>
      </c>
      <c r="C1008" s="4">
        <v>0.75</v>
      </c>
    </row>
    <row r="1009" spans="2:3" x14ac:dyDescent="0.15">
      <c r="B1009" s="9" t="s">
        <v>1017</v>
      </c>
      <c r="C1009" s="4">
        <v>0.75</v>
      </c>
    </row>
    <row r="1010" spans="2:3" x14ac:dyDescent="0.15">
      <c r="B1010" s="9" t="s">
        <v>1018</v>
      </c>
      <c r="C1010" s="4">
        <v>0.75</v>
      </c>
    </row>
    <row r="1011" spans="2:3" x14ac:dyDescent="0.15">
      <c r="B1011" s="9" t="s">
        <v>1019</v>
      </c>
      <c r="C1011" s="4">
        <v>0.75</v>
      </c>
    </row>
    <row r="1012" spans="2:3" x14ac:dyDescent="0.15">
      <c r="B1012" s="9" t="s">
        <v>1020</v>
      </c>
      <c r="C1012" s="4">
        <v>0.75</v>
      </c>
    </row>
    <row r="1013" spans="2:3" x14ac:dyDescent="0.15">
      <c r="B1013" s="9" t="s">
        <v>1021</v>
      </c>
      <c r="C1013" s="4">
        <v>0.75</v>
      </c>
    </row>
    <row r="1014" spans="2:3" x14ac:dyDescent="0.15">
      <c r="B1014" s="9" t="s">
        <v>1022</v>
      </c>
      <c r="C1014" s="4">
        <v>0.75</v>
      </c>
    </row>
    <row r="1015" spans="2:3" x14ac:dyDescent="0.15">
      <c r="B1015" s="9" t="s">
        <v>1023</v>
      </c>
      <c r="C1015" s="4">
        <v>0.75</v>
      </c>
    </row>
    <row r="1016" spans="2:3" x14ac:dyDescent="0.15">
      <c r="B1016" s="9" t="s">
        <v>1024</v>
      </c>
      <c r="C1016" s="4">
        <v>0.75</v>
      </c>
    </row>
    <row r="1017" spans="2:3" x14ac:dyDescent="0.15">
      <c r="B1017" s="9" t="s">
        <v>1025</v>
      </c>
      <c r="C1017" s="4">
        <v>1</v>
      </c>
    </row>
    <row r="1018" spans="2:3" x14ac:dyDescent="0.15">
      <c r="B1018" s="9" t="s">
        <v>1026</v>
      </c>
      <c r="C1018" s="4">
        <v>0.8</v>
      </c>
    </row>
    <row r="1019" spans="2:3" x14ac:dyDescent="0.15">
      <c r="B1019" s="9" t="s">
        <v>1027</v>
      </c>
      <c r="C1019" s="4">
        <v>1.05</v>
      </c>
    </row>
    <row r="1020" spans="2:3" x14ac:dyDescent="0.15">
      <c r="B1020" s="9" t="s">
        <v>1028</v>
      </c>
      <c r="C1020" s="4">
        <v>1.05</v>
      </c>
    </row>
    <row r="1021" spans="2:3" x14ac:dyDescent="0.15">
      <c r="B1021" s="9" t="s">
        <v>1029</v>
      </c>
      <c r="C1021" s="4">
        <v>1.05</v>
      </c>
    </row>
    <row r="1022" spans="2:3" x14ac:dyDescent="0.15">
      <c r="B1022" s="9" t="s">
        <v>1030</v>
      </c>
      <c r="C1022" s="4">
        <v>1.05</v>
      </c>
    </row>
    <row r="1023" spans="2:3" x14ac:dyDescent="0.15">
      <c r="B1023" s="9" t="s">
        <v>1031</v>
      </c>
      <c r="C1023" s="4">
        <v>1.05</v>
      </c>
    </row>
    <row r="1024" spans="2:3" x14ac:dyDescent="0.15">
      <c r="B1024" s="9" t="s">
        <v>1032</v>
      </c>
      <c r="C1024" s="4">
        <v>1.05</v>
      </c>
    </row>
    <row r="1025" spans="2:3" x14ac:dyDescent="0.15">
      <c r="B1025" s="9" t="s">
        <v>1033</v>
      </c>
      <c r="C1025" s="4">
        <v>1.05</v>
      </c>
    </row>
    <row r="1026" spans="2:3" x14ac:dyDescent="0.15">
      <c r="B1026" s="9" t="s">
        <v>1034</v>
      </c>
      <c r="C1026" s="4">
        <v>1.05</v>
      </c>
    </row>
    <row r="1027" spans="2:3" x14ac:dyDescent="0.15">
      <c r="B1027" s="9" t="s">
        <v>1035</v>
      </c>
      <c r="C1027" s="4">
        <v>1.05</v>
      </c>
    </row>
    <row r="1028" spans="2:3" x14ac:dyDescent="0.15">
      <c r="B1028" s="9" t="s">
        <v>1036</v>
      </c>
      <c r="C1028" s="4">
        <v>1.05</v>
      </c>
    </row>
    <row r="1029" spans="2:3" x14ac:dyDescent="0.15">
      <c r="B1029" s="9" t="s">
        <v>1037</v>
      </c>
      <c r="C1029" s="4">
        <v>1.05</v>
      </c>
    </row>
    <row r="1030" spans="2:3" x14ac:dyDescent="0.15">
      <c r="B1030" s="9" t="s">
        <v>1038</v>
      </c>
      <c r="C1030" s="4">
        <v>1.05</v>
      </c>
    </row>
    <row r="1031" spans="2:3" x14ac:dyDescent="0.15">
      <c r="B1031" s="9" t="s">
        <v>1039</v>
      </c>
      <c r="C1031" s="4">
        <v>1.05</v>
      </c>
    </row>
    <row r="1032" spans="2:3" x14ac:dyDescent="0.15">
      <c r="B1032" s="9" t="s">
        <v>1040</v>
      </c>
      <c r="C1032" s="4">
        <v>1.05</v>
      </c>
    </row>
    <row r="1033" spans="2:3" x14ac:dyDescent="0.15">
      <c r="B1033" s="9" t="s">
        <v>1041</v>
      </c>
      <c r="C1033" s="4">
        <v>1.05</v>
      </c>
    </row>
    <row r="1034" spans="2:3" x14ac:dyDescent="0.15">
      <c r="B1034" s="9" t="s">
        <v>1042</v>
      </c>
      <c r="C1034" s="4">
        <v>1.05</v>
      </c>
    </row>
    <row r="1035" spans="2:3" x14ac:dyDescent="0.15">
      <c r="B1035" s="9" t="s">
        <v>1043</v>
      </c>
      <c r="C1035" s="4">
        <v>1.05</v>
      </c>
    </row>
    <row r="1036" spans="2:3" x14ac:dyDescent="0.15">
      <c r="B1036" s="9" t="s">
        <v>1044</v>
      </c>
      <c r="C1036" s="4">
        <v>1.05</v>
      </c>
    </row>
    <row r="1037" spans="2:3" x14ac:dyDescent="0.15">
      <c r="B1037" s="9" t="s">
        <v>1045</v>
      </c>
      <c r="C1037" s="4">
        <v>1.05</v>
      </c>
    </row>
    <row r="1038" spans="2:3" x14ac:dyDescent="0.15">
      <c r="B1038" s="9" t="s">
        <v>1046</v>
      </c>
      <c r="C1038" s="4">
        <v>1.05</v>
      </c>
    </row>
    <row r="1039" spans="2:3" x14ac:dyDescent="0.15">
      <c r="B1039" s="9" t="s">
        <v>1047</v>
      </c>
      <c r="C1039" s="4">
        <v>1.05</v>
      </c>
    </row>
    <row r="1040" spans="2:3" x14ac:dyDescent="0.15">
      <c r="B1040" s="9" t="s">
        <v>1048</v>
      </c>
      <c r="C1040" s="4">
        <v>1.05</v>
      </c>
    </row>
    <row r="1041" spans="2:3" x14ac:dyDescent="0.15">
      <c r="B1041" s="9" t="s">
        <v>1049</v>
      </c>
      <c r="C1041" s="4">
        <v>1.05</v>
      </c>
    </row>
    <row r="1042" spans="2:3" x14ac:dyDescent="0.15">
      <c r="B1042" s="9" t="s">
        <v>1050</v>
      </c>
      <c r="C1042" s="4">
        <v>1.05</v>
      </c>
    </row>
    <row r="1043" spans="2:3" x14ac:dyDescent="0.15">
      <c r="B1043" s="9" t="s">
        <v>1051</v>
      </c>
      <c r="C1043" s="4">
        <v>1.05</v>
      </c>
    </row>
    <row r="1044" spans="2:3" x14ac:dyDescent="0.15">
      <c r="B1044" s="9" t="s">
        <v>1052</v>
      </c>
      <c r="C1044" s="4">
        <v>1.05</v>
      </c>
    </row>
    <row r="1045" spans="2:3" x14ac:dyDescent="0.15">
      <c r="B1045" s="9" t="s">
        <v>1053</v>
      </c>
      <c r="C1045" s="4">
        <v>1.05</v>
      </c>
    </row>
    <row r="1046" spans="2:3" x14ac:dyDescent="0.15">
      <c r="B1046" s="10" t="s">
        <v>1054</v>
      </c>
      <c r="C1046" s="6">
        <v>1</v>
      </c>
    </row>
  </sheetData>
  <mergeCells count="7">
    <mergeCell ref="K30:L30"/>
    <mergeCell ref="B11:C11"/>
    <mergeCell ref="B3:C3"/>
    <mergeCell ref="B39:C39"/>
    <mergeCell ref="F11:G11"/>
    <mergeCell ref="F30:G30"/>
    <mergeCell ref="F20:G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197D-DE85-4ADF-85FF-DA3FBACCD326}">
  <dimension ref="B2:C12"/>
  <sheetViews>
    <sheetView workbookViewId="0">
      <selection activeCell="G8" sqref="G8"/>
    </sheetView>
  </sheetViews>
  <sheetFormatPr baseColWidth="10" defaultColWidth="8.83203125" defaultRowHeight="14" x14ac:dyDescent="0.15"/>
  <cols>
    <col min="1" max="1" width="8.83203125" style="19" collapsed="1"/>
    <col min="2" max="2" width="18.83203125" style="19" customWidth="1" collapsed="1"/>
    <col min="3" max="3" width="48.1640625" style="19" customWidth="1" collapsed="1"/>
    <col min="4" max="16384" width="8.83203125" style="19" collapsed="1"/>
  </cols>
  <sheetData>
    <row r="2" spans="2:3" x14ac:dyDescent="0.15">
      <c r="B2" s="163" t="s">
        <v>2088</v>
      </c>
      <c r="C2" s="163"/>
    </row>
    <row r="3" spans="2:3" x14ac:dyDescent="0.15">
      <c r="B3" s="22" t="s">
        <v>2045</v>
      </c>
      <c r="C3" s="23" t="s">
        <v>2046</v>
      </c>
    </row>
    <row r="4" spans="2:3" x14ac:dyDescent="0.15">
      <c r="B4" s="24" t="s">
        <v>2047</v>
      </c>
      <c r="C4" s="25">
        <v>1</v>
      </c>
    </row>
    <row r="5" spans="2:3" x14ac:dyDescent="0.15">
      <c r="B5" s="19" t="s">
        <v>2048</v>
      </c>
      <c r="C5" s="26">
        <v>0.5</v>
      </c>
    </row>
    <row r="6" spans="2:3" x14ac:dyDescent="0.15">
      <c r="B6" s="19" t="s">
        <v>2049</v>
      </c>
      <c r="C6" s="26">
        <v>0.25</v>
      </c>
    </row>
    <row r="7" spans="2:3" x14ac:dyDescent="0.15">
      <c r="B7" s="19" t="s">
        <v>2050</v>
      </c>
      <c r="C7" s="26" t="s">
        <v>2056</v>
      </c>
    </row>
    <row r="8" spans="2:3" x14ac:dyDescent="0.15">
      <c r="B8" s="19" t="s">
        <v>2051</v>
      </c>
      <c r="C8" s="26">
        <v>0.1</v>
      </c>
    </row>
    <row r="9" spans="2:3" x14ac:dyDescent="0.15">
      <c r="B9" s="19" t="s">
        <v>2052</v>
      </c>
      <c r="C9" s="26" t="s">
        <v>2057</v>
      </c>
    </row>
    <row r="10" spans="2:3" x14ac:dyDescent="0.15">
      <c r="B10" s="19" t="s">
        <v>2053</v>
      </c>
      <c r="C10" s="26" t="s">
        <v>2058</v>
      </c>
    </row>
    <row r="11" spans="2:3" x14ac:dyDescent="0.15">
      <c r="B11" s="19" t="s">
        <v>2054</v>
      </c>
      <c r="C11" s="26" t="s">
        <v>2059</v>
      </c>
    </row>
    <row r="12" spans="2:3" x14ac:dyDescent="0.15">
      <c r="B12" s="20" t="s">
        <v>2055</v>
      </c>
      <c r="C12" s="21" t="s">
        <v>2060</v>
      </c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89EA9-5439-4B6E-A5EE-EAF1C693D6F0}">
  <dimension ref="B2:C3"/>
  <sheetViews>
    <sheetView workbookViewId="0">
      <selection sqref="A1:XFD1048576"/>
    </sheetView>
  </sheetViews>
  <sheetFormatPr baseColWidth="10" defaultColWidth="8.83203125" defaultRowHeight="14" x14ac:dyDescent="0.15"/>
  <cols>
    <col min="1" max="1" width="8.83203125" style="19"/>
    <col min="2" max="2" width="15.33203125" style="19" customWidth="1" collapsed="1"/>
    <col min="3" max="3" width="20.1640625" style="19" customWidth="1" collapsed="1"/>
    <col min="4" max="16384" width="8.83203125" style="19"/>
  </cols>
  <sheetData>
    <row r="2" spans="2:3" x14ac:dyDescent="0.15">
      <c r="B2" s="167" t="s">
        <v>12</v>
      </c>
      <c r="C2" s="167"/>
    </row>
    <row r="3" spans="2:3" x14ac:dyDescent="0.15">
      <c r="B3" s="116" t="s">
        <v>13</v>
      </c>
      <c r="C3" s="127" t="s">
        <v>2029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Rates</vt:lpstr>
      <vt:lpstr>Assumptions</vt:lpstr>
      <vt:lpstr>Monthly rates</vt:lpstr>
      <vt:lpstr>Annual Premiums</vt:lpstr>
      <vt:lpstr>Age Band Distribution</vt:lpstr>
      <vt:lpstr>Factors</vt:lpstr>
      <vt:lpstr>Other</vt:lpstr>
      <vt:lpstr>Env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Agita Kamala</dc:creator>
  <cp:lastModifiedBy>Allison Basye</cp:lastModifiedBy>
  <dcterms:created xsi:type="dcterms:W3CDTF">2022-02-11T13:55:45Z</dcterms:created>
  <dcterms:modified xsi:type="dcterms:W3CDTF">2025-05-13T14:51:15Z</dcterms:modified>
</cp:coreProperties>
</file>