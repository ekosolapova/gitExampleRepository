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>
    <mc:Choice Requires="x15">
      <x15ac:absPath xmlns:x15ac="http://schemas.microsoft.com/office/spreadsheetml/2010/11/ac" url="C:\Users\ekviese\Downloads\"/>
    </mc:Choice>
  </mc:AlternateContent>
  <xr:revisionPtr revIDLastSave="0" documentId="13_ncr:1_{7A245170-5452-4824-B6D8-F9C678E472D2}" xr6:coauthVersionLast="47" xr6:coauthVersionMax="47" xr10:uidLastSave="{00000000-0000-0000-0000-000000000000}"/>
  <bookViews>
    <workbookView xWindow="-23148" yWindow="-108" windowWidth="23256" windowHeight="12456" tabRatio="879" activeTab="3" xr2:uid="{00000000-000D-0000-FFFF-FFFF00000000}"/>
  </bookViews>
  <sheets>
    <sheet name="Validation" sheetId="41" r:id="rId1"/>
    <sheet name="Main" sheetId="5" r:id="rId2"/>
    <sheet name="Coverages" sheetId="25" r:id="rId3"/>
    <sheet name="Census" sheetId="48" r:id="rId4"/>
    <sheet name="Classes" sheetId="19" r:id="rId5"/>
    <sheet name="AgeCalculation" sheetId="42" r:id="rId6"/>
    <sheet name="AgeBanded" sheetId="45" r:id="rId7"/>
    <sheet name="RateCalc" sheetId="18" r:id="rId8"/>
    <sheet name="ClaimCost" sheetId="43" r:id="rId9"/>
    <sheet name="Environment" sheetId="33" r:id="rId10"/>
    <sheet name="RatingDetails" sheetId="49" r:id="rId11"/>
  </sheets>
  <definedNames>
    <definedName name="_xlnm._FilterDatabase" localSheetId="0" hidden="1">Validation!$A$4:$E$47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4" i="41" l="1"/>
  <c r="C13" i="41"/>
  <c r="C12" i="41"/>
  <c r="C11" i="41"/>
  <c r="C10" i="41"/>
  <c r="C9" i="41"/>
</calcChain>
</file>

<file path=xl/sharedStrings.xml><?xml version="1.0" encoding="utf-8"?>
<sst xmlns="http://schemas.openxmlformats.org/spreadsheetml/2006/main" count="1977" uniqueCount="1319">
  <si>
    <t>Age</t>
  </si>
  <si>
    <t>Volume</t>
  </si>
  <si>
    <t>AgeBand</t>
  </si>
  <si>
    <t>Gender</t>
  </si>
  <si>
    <t>Steps</t>
  </si>
  <si>
    <t>Formula</t>
  </si>
  <si>
    <t>EmployeeID</t>
  </si>
  <si>
    <t>= employeeID</t>
  </si>
  <si>
    <t>Census Validation</t>
  </si>
  <si>
    <t>NoCensus</t>
  </si>
  <si>
    <t>= classNumber</t>
  </si>
  <si>
    <t>SmokerIndicator</t>
  </si>
  <si>
    <t>Ages</t>
  </si>
  <si>
    <t>= age</t>
  </si>
  <si>
    <t>Lives</t>
  </si>
  <si>
    <t>ClassNumbers</t>
  </si>
  <si>
    <t>LIVES</t>
  </si>
  <si>
    <t>LivesCount</t>
  </si>
  <si>
    <t>Plan&amp;Coverages</t>
  </si>
  <si>
    <t>ADDCoverageCalculation</t>
  </si>
  <si>
    <t>CalculateEmployeeInfo</t>
  </si>
  <si>
    <t>= gender</t>
  </si>
  <si>
    <t>AnnualSalary</t>
  </si>
  <si>
    <t>ADDCoverage</t>
  </si>
  <si>
    <t>CensusVolume</t>
  </si>
  <si>
    <t>Factors</t>
  </si>
  <si>
    <t>AgeBandedRateCard</t>
  </si>
  <si>
    <t>= volume</t>
  </si>
  <si>
    <t>dependency</t>
  </si>
  <si>
    <t>Environment</t>
  </si>
  <si>
    <t>Step</t>
  </si>
  <si>
    <t>= planName</t>
  </si>
  <si>
    <t>SpouseTermLife</t>
  </si>
  <si>
    <t>C1</t>
  </si>
  <si>
    <t>= className</t>
  </si>
  <si>
    <t>ChildTermLife</t>
  </si>
  <si>
    <t>= currentAgeBand</t>
  </si>
  <si>
    <t>= rateBasis</t>
  </si>
  <si>
    <t>RatingDetails*</t>
  </si>
  <si>
    <t>Rate</t>
  </si>
  <si>
    <t>WaiverOfPremium</t>
  </si>
  <si>
    <t>Validation</t>
  </si>
  <si>
    <t>= Validation (policy)</t>
  </si>
  <si>
    <t>ValidationMessages</t>
  </si>
  <si>
    <t>= policyNumber</t>
  </si>
  <si>
    <t>Max Benefit  Amount</t>
  </si>
  <si>
    <t>Average Face Amount</t>
  </si>
  <si>
    <t>CRET1</t>
  </si>
  <si>
    <t>a</t>
  </si>
  <si>
    <t>Boolean a</t>
  </si>
  <si>
    <t>Check</t>
  </si>
  <si>
    <t>Message</t>
  </si>
  <si>
    <t>= anyTrue ( ClassesCheck ( census ))</t>
  </si>
  <si>
    <t>= isEmpty ( gender)</t>
  </si>
  <si>
    <t>PriorCarrierEffectiveDateCheck</t>
  </si>
  <si>
    <t>DOBCheck</t>
  </si>
  <si>
    <t xml:space="preserve">= isEmpty ( dateOfBirth ) </t>
  </si>
  <si>
    <t>AgeCheck</t>
  </si>
  <si>
    <t xml:space="preserve">= isEmpty ( age ) </t>
  </si>
  <si>
    <t>AgeDOBCheck</t>
  </si>
  <si>
    <t>EmployeeAge</t>
  </si>
  <si>
    <t>= isNotEmpty(age)</t>
  </si>
  <si>
    <t>EmployeeDOB</t>
  </si>
  <si>
    <t>= isNotEmpty(dateOfBirth)</t>
  </si>
  <si>
    <t>Saved Age</t>
  </si>
  <si>
    <t>Employee DOB</t>
  </si>
  <si>
    <t>Employee Age</t>
  </si>
  <si>
    <t>AgeCalculated</t>
  </si>
  <si>
    <t>AAEB WHL Model</t>
  </si>
  <si>
    <t>FiveYearsAgeBands</t>
  </si>
  <si>
    <t>= getValues (FiveYearsAgeBand)</t>
  </si>
  <si>
    <t>OneYearAgeBands</t>
  </si>
  <si>
    <t>= getValues (OneYearAgeBand)</t>
  </si>
  <si>
    <t>CoverageCode</t>
  </si>
  <si>
    <t>= coverageCode</t>
  </si>
  <si>
    <t>TobaccoClass</t>
  </si>
  <si>
    <t>= tobaccoClass</t>
  </si>
  <si>
    <t>BlendedAgeAndTobaccoAssumption</t>
  </si>
  <si>
    <t>BaseRateWithBlendedAgeAndTobaccoAssumption</t>
  </si>
  <si>
    <t>AllGenders</t>
  </si>
  <si>
    <t>18-24</t>
  </si>
  <si>
    <t>= coverages [select first having coverageCode == "SpouseWholeLife"]</t>
  </si>
  <si>
    <t>= isEmpty ( volume)</t>
  </si>
  <si>
    <t>EWLCoverage</t>
  </si>
  <si>
    <t>= planCode</t>
  </si>
  <si>
    <t>= coverages [select first having coverageCode == "EmployeeWholeLife"]</t>
  </si>
  <si>
    <t>EWLCensus</t>
  </si>
  <si>
    <t>EWLCoverageCalculation</t>
  </si>
  <si>
    <t>SWLCoverage</t>
  </si>
  <si>
    <t>SWLCoverageCalculation</t>
  </si>
  <si>
    <t>= BaseRawRates (age, gender, tobaccoClass)</t>
  </si>
  <si>
    <t>25-29</t>
  </si>
  <si>
    <t>30-34</t>
  </si>
  <si>
    <t>35-39</t>
  </si>
  <si>
    <t>40-44</t>
  </si>
  <si>
    <t>45-49</t>
  </si>
  <si>
    <t>50-54</t>
  </si>
  <si>
    <t>55-59</t>
  </si>
  <si>
    <t>AllTobaccoClasses</t>
  </si>
  <si>
    <t>Age Returned</t>
  </si>
  <si>
    <t>BaseRateWithBlendedAssumptionTobaccoDistinct</t>
  </si>
  <si>
    <t>BlendedAgeAndTobaccoAssumptionTobaccoDistinct</t>
  </si>
  <si>
    <t>BaseRawRate</t>
  </si>
  <si>
    <t>=$BaseRawRate * $BlendedAgeAndTobaccoAssumption</t>
  </si>
  <si>
    <t>=$BaseRawRate * $BlendedAgeAndTobaccoAssumptionTobaccoDistinct</t>
  </si>
  <si>
    <t>WaiverRawRate</t>
  </si>
  <si>
    <t>= WaiverRawRates (age, gender, tobaccoClass)</t>
  </si>
  <si>
    <t>WaiverRateWithBlendedAgeAndTobaccoAssumption</t>
  </si>
  <si>
    <t>=$WaiverRawRate * $BlendedAgeAndTobaccoAssumption</t>
  </si>
  <si>
    <t>AnnualPremiumBaseWithBlendedAssumptionUnitobacco</t>
  </si>
  <si>
    <t>=$WaiverRawRate * $BlendedAgeAndTobaccoAssumptionTobaccoDistinct</t>
  </si>
  <si>
    <t>WaiverRateWithBlendedAssumptionTobaccoDistinct</t>
  </si>
  <si>
    <t>Rate Format</t>
  </si>
  <si>
    <t>OneYearAgeBand</t>
  </si>
  <si>
    <t>FiveYearsAgeBand</t>
  </si>
  <si>
    <t>Age Band</t>
  </si>
  <si>
    <t>RateFormat</t>
  </si>
  <si>
    <t>UniTobacco</t>
  </si>
  <si>
    <t>NonTobacco</t>
  </si>
  <si>
    <t>Tobacco</t>
  </si>
  <si>
    <t>CensusType</t>
  </si>
  <si>
    <t>Filtered Census</t>
  </si>
  <si>
    <t>Eligible</t>
  </si>
  <si>
    <t>Enrolled</t>
  </si>
  <si>
    <t>= rateFormat</t>
  </si>
  <si>
    <t>25 - 29</t>
  </si>
  <si>
    <t>30 - 34</t>
  </si>
  <si>
    <t>35 - 39</t>
  </si>
  <si>
    <t>40 - 44</t>
  </si>
  <si>
    <t>45 - 49</t>
  </si>
  <si>
    <t>50 - 54</t>
  </si>
  <si>
    <t>55 - 59</t>
  </si>
  <si>
    <t>Census Type</t>
  </si>
  <si>
    <t>Tobacco Class</t>
  </si>
  <si>
    <t>Lives Calculated</t>
  </si>
  <si>
    <t>None</t>
  </si>
  <si>
    <t>= (Integer) round (DefaultNumberOfLivesOneAgeBand (currentAgeBand, numberOfLives) * 0.15, 0)</t>
  </si>
  <si>
    <t>= (Integer) round (DefaultNumberOfLivesOneAgeBand (currentAgeBand, numberOfLives) * 0.85, 0)</t>
  </si>
  <si>
    <t>= (Integer) round (DefaultNumberOfLivesOneAgeBand (currentAgeBand, numberOfLives), 0)</t>
  </si>
  <si>
    <t>= (Integer) round (DefaultNumberOfLivesFiveAgeBand (currentAgeBand, numberOfLives) * 0.15, 0)</t>
  </si>
  <si>
    <t>= (Integer) round (DefaultNumberOfLivesFiveAgeBand (currentAgeBand, numberOfLives) * 0.85, 0)</t>
  </si>
  <si>
    <t>= (Integer) round (DefaultNumberOfLivesFiveAgeBand (currentAgeBand, numberOfLives), 0)</t>
  </si>
  <si>
    <t>18 - 24</t>
  </si>
  <si>
    <t>Tobacco Classes</t>
  </si>
  <si>
    <t>NonTobacco, Tobacco</t>
  </si>
  <si>
    <t>RateCardPremium</t>
  </si>
  <si>
    <t>RateCard</t>
  </si>
  <si>
    <t>MonthlyPremium*</t>
  </si>
  <si>
    <t>AnnualPremium*</t>
  </si>
  <si>
    <t>NumberOfLives*</t>
  </si>
  <si>
    <t>Rate*</t>
  </si>
  <si>
    <t>= (String) currentAgeBand</t>
  </si>
  <si>
    <t>CurrentAgeBand</t>
  </si>
  <si>
    <t>AllAges</t>
  </si>
  <si>
    <t>= getValues (Age)</t>
  </si>
  <si>
    <t>AgesOfAgeBand</t>
  </si>
  <si>
    <t>TotalEmployeePctForAges</t>
  </si>
  <si>
    <t>= CensusDistributionCalculation ($AgesOfAgeBand, noCensus, census, overallLength).$TotalEmployeePctThisAge</t>
  </si>
  <si>
    <t>TotalEmployeePctSum</t>
  </si>
  <si>
    <t>= sum ($TotalEmployeePctForAges)</t>
  </si>
  <si>
    <t>NumberOfLivesAgeBandTobaccoClass</t>
  </si>
  <si>
    <t>= FiveAgeBandToAges ($CurrentAgeBand, $AllAges)</t>
  </si>
  <si>
    <t>NumberOfLives</t>
  </si>
  <si>
    <t>= OneAgeBandToAges ($CurrentAgeBand, $AllAges)</t>
  </si>
  <si>
    <t>= slice (allAges, 0, 1)</t>
  </si>
  <si>
    <t>= slice (allAges, 1, 2)</t>
  </si>
  <si>
    <t>= slice (allAges, 2, 3)</t>
  </si>
  <si>
    <t>= slice (allAges, 3, 4)</t>
  </si>
  <si>
    <t>= slice (allAges, 4, 5)</t>
  </si>
  <si>
    <t>= slice (allAges, 5, 6)</t>
  </si>
  <si>
    <t>= slice (allAges, 6, 7)</t>
  </si>
  <si>
    <t>= slice (allAges, 7, 8)</t>
  </si>
  <si>
    <t>= slice (allAges, 8, 9)</t>
  </si>
  <si>
    <t>= slice (allAges, 9, 10)</t>
  </si>
  <si>
    <t>= slice (allAges, 10, 11)</t>
  </si>
  <si>
    <t>= slice (allAges, 11, 12)</t>
  </si>
  <si>
    <t>= slice (allAges, 12, 13)</t>
  </si>
  <si>
    <t>= slice (allAges, 13, 14)</t>
  </si>
  <si>
    <t>= slice (allAges, 14, 15)</t>
  </si>
  <si>
    <t>= slice (allAges, 15, 16)</t>
  </si>
  <si>
    <t>= slice (allAges, 16, 17)</t>
  </si>
  <si>
    <t>= slice (allAges, 17, 18)</t>
  </si>
  <si>
    <t>= slice (allAges, 18, 19)</t>
  </si>
  <si>
    <t>= slice (allAges, 19, 20)</t>
  </si>
  <si>
    <t>= slice (allAges, 21, 22)</t>
  </si>
  <si>
    <t>= slice (allAges, 22, 23)</t>
  </si>
  <si>
    <t>= slice (allAges, 23, 24)</t>
  </si>
  <si>
    <t>= slice (allAges, 24, 25)</t>
  </si>
  <si>
    <t>= slice (allAges, 25, 26)</t>
  </si>
  <si>
    <t>= slice (allAges, 26, 27)</t>
  </si>
  <si>
    <t>= slice (allAges, 27, 28)</t>
  </si>
  <si>
    <t>= slice (allAges, 28, 29)</t>
  </si>
  <si>
    <t>= slice (allAges, 29, 30)</t>
  </si>
  <si>
    <t>= slice (allAges, 30, 31)</t>
  </si>
  <si>
    <t>= slice (allAges, 31, 32)</t>
  </si>
  <si>
    <t>= slice (allAges, 32, 33)</t>
  </si>
  <si>
    <t>= slice (allAges, 33, 34)</t>
  </si>
  <si>
    <t>= slice (allAges, 34, 35)</t>
  </si>
  <si>
    <t>= slice (allAges, 35, 36)</t>
  </si>
  <si>
    <t>= slice (allAges, 36, 37)</t>
  </si>
  <si>
    <t>= slice (allAges, 37, 38)</t>
  </si>
  <si>
    <t>= slice (allAges, 38, 39)</t>
  </si>
  <si>
    <t>= slice (allAges, 39, 40)</t>
  </si>
  <si>
    <t>= slice (allAges, 40, 41)</t>
  </si>
  <si>
    <t>= slice (allAges, 41, 42)</t>
  </si>
  <si>
    <t>= slice (allAges, 42, 43)</t>
  </si>
  <si>
    <t>= slice (allAges, 43, 44)</t>
  </si>
  <si>
    <t>= slice (allAges, 44, 45)</t>
  </si>
  <si>
    <t>= slice (allAges, 45, 46)</t>
  </si>
  <si>
    <t>= slice (allAges, 46, 47)</t>
  </si>
  <si>
    <t>= slice (allAges, 47, 48)</t>
  </si>
  <si>
    <t>= slice (allAges, 48, 49)</t>
  </si>
  <si>
    <t>= slice (allAges, 49, 50)</t>
  </si>
  <si>
    <t>= slice (allAges, 50, 51)</t>
  </si>
  <si>
    <t>= slice (allAges, 51, 52)</t>
  </si>
  <si>
    <t>= slice (allAges, 52, 53)</t>
  </si>
  <si>
    <t>= slice (allAges, 11, 17)</t>
  </si>
  <si>
    <t>= slice (allAges, 17, 22)</t>
  </si>
  <si>
    <t>= slice (allAges, 22, 27)</t>
  </si>
  <si>
    <t>= slice (allAges, 27, 32)</t>
  </si>
  <si>
    <t>= slice (allAges, 32, 37)</t>
  </si>
  <si>
    <t>= slice (allAges, 37, 42)</t>
  </si>
  <si>
    <t>= slice (allAges, 42, 46)</t>
  </si>
  <si>
    <t>ADBTerminalIllness</t>
  </si>
  <si>
    <t>LumpSumADBChronicIllness</t>
  </si>
  <si>
    <t>MonthlyADBChronicIllness</t>
  </si>
  <si>
    <t>ADBDisability</t>
  </si>
  <si>
    <t>BenefitName</t>
  </si>
  <si>
    <t>Benefit Name</t>
  </si>
  <si>
    <t>Premium Returned</t>
  </si>
  <si>
    <t>BenefitPremiumAmount</t>
  </si>
  <si>
    <t>= SpouseTermAnnualPremium (age)</t>
  </si>
  <si>
    <t>= ChildTermAnnualPremium (age)</t>
  </si>
  <si>
    <t>= ADDAnnualPremium (age)</t>
  </si>
  <si>
    <t>EmployeeWholeLife</t>
  </si>
  <si>
    <t>SpouseWholeLife</t>
  </si>
  <si>
    <t>AccidentalDeathAndDismemberment</t>
  </si>
  <si>
    <t>Coverage Code</t>
  </si>
  <si>
    <t>EmployeeWholeLifeAnnualPremiumRate</t>
  </si>
  <si>
    <t>SpouseWholeLifeAnnualPremiumRate</t>
  </si>
  <si>
    <t>SpouseTermLifeAnnualPremiumRate</t>
  </si>
  <si>
    <t>ChildTermLifeAnnualPremiumRate</t>
  </si>
  <si>
    <t>AccidentalDeathAndDismembermentAnnualPremiumRate</t>
  </si>
  <si>
    <t>WaiverOfPremiumAnnualPremiumRate</t>
  </si>
  <si>
    <t>= TobaccoClasses (rateFormat)</t>
  </si>
  <si>
    <t>= BlendedAgeAndTobaccoAssumption (age, gender, $TobaccoClass)</t>
  </si>
  <si>
    <t>= BlendedAgeAndTobaccoAssumptionTobaccoDistinct (age, gender, $TobaccoClass)</t>
  </si>
  <si>
    <t>ClassName*</t>
  </si>
  <si>
    <t>ClassNumber*</t>
  </si>
  <si>
    <t>RateCardPremium*</t>
  </si>
  <si>
    <t>CurrentAge</t>
  </si>
  <si>
    <t>CensusEmployeesThisAgeMale</t>
  </si>
  <si>
    <t>LengthCensusEmployeesThisAgeMale</t>
  </si>
  <si>
    <t>= length ($CensusEmployeesThisAgeMale)</t>
  </si>
  <si>
    <t>CensusEmployeesThisAgeFemale</t>
  </si>
  <si>
    <t>LengthCensusEmployeesThisAgeFemale</t>
  </si>
  <si>
    <t>= length ($CensusEmployeesThisAgeFemale)</t>
  </si>
  <si>
    <t>EmployeeMalePct</t>
  </si>
  <si>
    <t>= noCensus ? DefaultEmployeeGrid ($CurrentAge, "M") : $LengthCensusEmployeesThisAgeMale / overallLength</t>
  </si>
  <si>
    <t>EmployeeFemalePct</t>
  </si>
  <si>
    <t>SpouseMalePct</t>
  </si>
  <si>
    <t>= $EmployeeFemalePct</t>
  </si>
  <si>
    <t>SpouseFemalePct</t>
  </si>
  <si>
    <t>= $EmployeeMalePct</t>
  </si>
  <si>
    <t>TotalEmployeePctThisAge</t>
  </si>
  <si>
    <t>= $EmployeeMalePct + $EmployeeFemalePct</t>
  </si>
  <si>
    <t>TotalSpousePctThisAge</t>
  </si>
  <si>
    <t>= $SpouseMalePct + $SpouseFemalePct</t>
  </si>
  <si>
    <t xml:space="preserve">= AgeToFiveAgeBand ($Age) </t>
  </si>
  <si>
    <t>= censusEmployee.employeeCoverages.classNumber</t>
  </si>
  <si>
    <t>= AgeToOneAgeBand ($Age)</t>
  </si>
  <si>
    <t>AgeBandedRateCards*</t>
  </si>
  <si>
    <t>RateCard*</t>
  </si>
  <si>
    <t>PolicyNumber*</t>
  </si>
  <si>
    <t>PlanName*</t>
  </si>
  <si>
    <t>PlanCode*</t>
  </si>
  <si>
    <t>AnnualPremium</t>
  </si>
  <si>
    <t>MonthlyPremium</t>
  </si>
  <si>
    <t>CoverageCode*</t>
  </si>
  <si>
    <t>RateBasis*</t>
  </si>
  <si>
    <t>Classes*</t>
  </si>
  <si>
    <t>=  (Integer) round (FiveYearsAgeBandDistribution ("25 - 29") * numberOfLives, 0)</t>
  </si>
  <si>
    <t>=  (Integer) round (FiveYearsAgeBandDistribution ("30 - 34") * numberOfLives, 0)</t>
  </si>
  <si>
    <t>=  (Integer) round (FiveYearsAgeBandDistribution ("35 - 39") * numberOfLives, 0)</t>
  </si>
  <si>
    <t>=  (Integer) round (FiveYearsAgeBandDistribution ("40 - 44") * numberOfLives, 0)</t>
  </si>
  <si>
    <t>=  (Integer) round (FiveYearsAgeBandDistribution ("45 - 49") * numberOfLives, 0)</t>
  </si>
  <si>
    <t>=  (Integer) round (FiveYearsAgeBandDistribution ("50 - 54") * numberOfLives, 0)</t>
  </si>
  <si>
    <t>=  (Integer) round (FiveYearsAgeBandDistribution ("55 - 59") * numberOfLives, 0)</t>
  </si>
  <si>
    <t>=  (Integer) round (OneYearAgeBandDistribution ("18") *numberOfLives, 0)</t>
  </si>
  <si>
    <t>=  (Integer) round (OneYearAgeBandDistribution ("19") *numberOfLives, 0)</t>
  </si>
  <si>
    <t>=  (Integer) round (OneYearAgeBandDistribution ("20") *numberOfLives, 0)</t>
  </si>
  <si>
    <t>=  (Integer) round (OneYearAgeBandDistribution ("21") *numberOfLives, 0)</t>
  </si>
  <si>
    <t>=  (Integer) round (OneYearAgeBandDistribution ("22") *numberOfLives, 0)</t>
  </si>
  <si>
    <t>=  (Integer) round (OneYearAgeBandDistribution ("23") *numberOfLives, 0)</t>
  </si>
  <si>
    <t>=  (Integer) round (OneYearAgeBandDistribution ("24") *numberOfLives, 0)</t>
  </si>
  <si>
    <t>=  (Integer) round (OneYearAgeBandDistribution ("25") *numberOfLives, 0)</t>
  </si>
  <si>
    <t>=  (Integer) round (OneYearAgeBandDistribution ("26") *numberOfLives, 0)</t>
  </si>
  <si>
    <t>=  (Integer) round (OneYearAgeBandDistribution ("27") *numberOfLives, 0)</t>
  </si>
  <si>
    <t>=  (Integer) round (OneYearAgeBandDistribution ("28") *numberOfLives, 0)</t>
  </si>
  <si>
    <t>=  (Integer) round (OneYearAgeBandDistribution ("29") *numberOfLives, 0)</t>
  </si>
  <si>
    <t>=  (Integer) round (OneYearAgeBandDistribution ("30") *numberOfLives, 0)</t>
  </si>
  <si>
    <t>=  (Integer) round (OneYearAgeBandDistribution ("31") *numberOfLives, 0)</t>
  </si>
  <si>
    <t>=  (Integer) round (OneYearAgeBandDistribution ("32") *numberOfLives, 0)</t>
  </si>
  <si>
    <t>=  (Integer) round (OneYearAgeBandDistribution ("33") *numberOfLives, 0)</t>
  </si>
  <si>
    <t>=  (Integer) round (OneYearAgeBandDistribution ("34") *numberOfLives, 0)</t>
  </si>
  <si>
    <t>=  (Integer) round (OneYearAgeBandDistribution ("35") *numberOfLives, 0)</t>
  </si>
  <si>
    <t>=  (Integer) round (OneYearAgeBandDistribution ("36") *numberOfLives, 0)</t>
  </si>
  <si>
    <t>=  (Integer) round (OneYearAgeBandDistribution ("37") *numberOfLives, 0)</t>
  </si>
  <si>
    <t>=  (Integer) round (OneYearAgeBandDistribution ("38") *numberOfLives, 0)</t>
  </si>
  <si>
    <t>=  (Integer) round (OneYearAgeBandDistribution ("39") *numberOfLives, 0)</t>
  </si>
  <si>
    <t>=  (Integer) round (OneYearAgeBandDistribution ("40") *numberOfLives, 0)</t>
  </si>
  <si>
    <t>=  (Integer) round (OneYearAgeBandDistribution ("41") *numberOfLives, 0)</t>
  </si>
  <si>
    <t>=  (Integer) round (OneYearAgeBandDistribution ("42") *numberOfLives, 0)</t>
  </si>
  <si>
    <t>=  (Integer) round (OneYearAgeBandDistribution ("43") *numberOfLives, 0)</t>
  </si>
  <si>
    <t>=  (Integer) round (OneYearAgeBandDistribution ("44") *numberOfLives, 0)</t>
  </si>
  <si>
    <t>=  (Integer) round (OneYearAgeBandDistribution ("45") *numberOfLives, 0)</t>
  </si>
  <si>
    <t>=  (Integer) round (OneYearAgeBandDistribution ("46") *numberOfLives, 0)</t>
  </si>
  <si>
    <t>=  (Integer) round (OneYearAgeBandDistribution ("47") *numberOfLives, 0)</t>
  </si>
  <si>
    <t>=  (Integer) round (OneYearAgeBandDistribution ("48") *numberOfLives, 0)</t>
  </si>
  <si>
    <t>=  (Integer) round (OneYearAgeBandDistribution ("49") *numberOfLives, 0)</t>
  </si>
  <si>
    <t>=  (Integer) round (OneYearAgeBandDistribution ("50") *numberOfLives, 0)</t>
  </si>
  <si>
    <t>=  (Integer) round (OneYearAgeBandDistribution ("51") *numberOfLives, 0)</t>
  </si>
  <si>
    <t>=  (Integer) round (OneYearAgeBandDistribution ("52") *numberOfLives, 0)</t>
  </si>
  <si>
    <t>=  (Integer) round (OneYearAgeBandDistribution ("53") *numberOfLives, 0)</t>
  </si>
  <si>
    <t>=  (Integer) round (OneYearAgeBandDistribution ("54") *numberOfLives, 0)</t>
  </si>
  <si>
    <t>=  (Integer) round (OneYearAgeBandDistribution ("55") *numberOfLives, 0)</t>
  </si>
  <si>
    <t>=  (Integer) round (OneYearAgeBandDistribution ("56") *numberOfLives, 0)</t>
  </si>
  <si>
    <t>=  (Integer) round (OneYearAgeBandDistribution ("57") *numberOfLives, 0)</t>
  </si>
  <si>
    <t>=  (Integer) round (OneYearAgeBandDistribution ("58") *numberOfLives, 0)</t>
  </si>
  <si>
    <t>=  (Integer) round (OneYearAgeBandDistribution ("59") *numberOfLives, 0)</t>
  </si>
  <si>
    <t>=  (Integer) round (OneYearAgeBandDistribution ("60") *numberOfLives, 0)</t>
  </si>
  <si>
    <t>=  (Integer) round (OneYearAgeBandDistribution ("61") *numberOfLives, 0)</t>
  </si>
  <si>
    <t>=  (Integer) round (OneYearAgeBandDistribution ("62") *numberOfLives, 0)</t>
  </si>
  <si>
    <t>=  (Integer) round (OneYearAgeBandDistribution ("63") *numberOfLives, 0)</t>
  </si>
  <si>
    <t>=  (Integer) round (OneYearAgeBandDistribution ("64") *numberOfLives, 0)</t>
  </si>
  <si>
    <t>=  (Integer) round (OneYearAgeBandDistribution ("65") *numberOfLives, 0)</t>
  </si>
  <si>
    <t>=  (Integer) round (OneYearAgeBandDistribution ("66") *numberOfLives, 0)</t>
  </si>
  <si>
    <t>=  (Integer) round (OneYearAgeBandDistribution ("67") *numberOfLives, 0)</t>
  </si>
  <si>
    <t>=  (Integer) round (OneYearAgeBandDistribution ("68") *numberOfLives, 0)</t>
  </si>
  <si>
    <t>=  (Integer) round (OneYearAgeBandDistribution ("69") *numberOfLives, 0)</t>
  </si>
  <si>
    <t>= FiveLivesCalculated (censusType, $TobaccoClass, $CurrentAgeBand, numberOfLives, census, targetParticipationPct)</t>
  </si>
  <si>
    <t>= slice (allAges, 7, 11)</t>
  </si>
  <si>
    <t>AgeBand*</t>
  </si>
  <si>
    <t>Gender*</t>
  </si>
  <si>
    <t>CensusClassLength</t>
  </si>
  <si>
    <t>EEClass</t>
  </si>
  <si>
    <t>= censusEmployee.employeeCoverages[0].classNumber</t>
  </si>
  <si>
    <t>= length (census [select all having $EEClass == $ClassNumber])</t>
  </si>
  <si>
    <t>ThisClassPct</t>
  </si>
  <si>
    <t>= round ( $CensusClassLength / length (census),2)</t>
  </si>
  <si>
    <t>EligibleCensusLives</t>
  </si>
  <si>
    <t>= (Integer) round (fundingStructure.targetParticipationPct * fundingStructure.numberOfLives,2 )</t>
  </si>
  <si>
    <t>= OneLivesCalculated (censusType, $TobaccoClass, $CurrentAgeBand, numberOfLives, census, $TotalEmployeePctSum)</t>
  </si>
  <si>
    <t>= (Integer) round (numberOfLives* totalEmployeePctSum, 0)</t>
  </si>
  <si>
    <t>= (Integer) round (numberOfLives* totalEmployeePctSum * 0.15, 0)</t>
  </si>
  <si>
    <t>= (Integer) round (numberOfLives* totalEmployeePctSum * 0.85, 0)</t>
  </si>
  <si>
    <t>= slice (allAges, 46, 82)</t>
  </si>
  <si>
    <t xml:space="preserve"> </t>
  </si>
  <si>
    <t>Estimated Annual Spend per Participating EE</t>
  </si>
  <si>
    <t>GI Limit</t>
  </si>
  <si>
    <t>= AnnualSpendPerEE (guaranteedIssueAmount)</t>
  </si>
  <si>
    <t>AnnualSpendPerEE</t>
  </si>
  <si>
    <t>EWLCoverageCensusType</t>
  </si>
  <si>
    <t>= $EWLCoverage.censusType</t>
  </si>
  <si>
    <t>= (Integer) round ( length (census [select all having $FiveYearsAgeBand == currentAgeBand] ) * 0.15, 0)</t>
  </si>
  <si>
    <t>= (Integer) round ( length (census [select all having $FiveYearsAgeBand == currentAgeBand] ) * 0.85, 0)</t>
  </si>
  <si>
    <t>= length (census [select all having $FiveYearsAgeBand == currentAgeBand] )</t>
  </si>
  <si>
    <t>Annual Premium Returned</t>
  </si>
  <si>
    <t>= annualEmployeeWholeLifeRate</t>
  </si>
  <si>
    <t>= annualSpouseWholeLifeRate</t>
  </si>
  <si>
    <t>= annualSpouseTermLifeRate</t>
  </si>
  <si>
    <t>= annualChildTermLifeRate</t>
  </si>
  <si>
    <t>= annualAccidentalDeathAndDismembermentRate</t>
  </si>
  <si>
    <t>= annualWaiverOfPremiumRate</t>
  </si>
  <si>
    <t>= noCensus ? DefaultEmployeeGrid ($CurrentAge, "F") : $LengthCensusEmployeesThisAgeFemale / overallLength</t>
  </si>
  <si>
    <t>M</t>
  </si>
  <si>
    <t>F</t>
  </si>
  <si>
    <t>OverallLength</t>
  </si>
  <si>
    <t>= length ($CensusEmployeesValidAges)</t>
  </si>
  <si>
    <t>CensusEmployeesValidAges</t>
  </si>
  <si>
    <t>EmployeeCoverageClasses</t>
  </si>
  <si>
    <t>EmployeeClassLives</t>
  </si>
  <si>
    <t>SpouseClassLives</t>
  </si>
  <si>
    <t>= (Integer) round ($EmployeeClassLives * 0.17, 0)</t>
  </si>
  <si>
    <t>= $SpouseClassLives</t>
  </si>
  <si>
    <t>STLCoverage</t>
  </si>
  <si>
    <t>STLCoverageCalculation</t>
  </si>
  <si>
    <t>= coverages [select first having coverageCode == "SpouseTermLife"]</t>
  </si>
  <si>
    <t>ChildClassLives</t>
  </si>
  <si>
    <t>CompositeAgeBandCalculation</t>
  </si>
  <si>
    <t>= "Composite"</t>
  </si>
  <si>
    <t>= numberOfLivesClass</t>
  </si>
  <si>
    <t>CTLCoverage</t>
  </si>
  <si>
    <t>CTLCoverageCalculation</t>
  </si>
  <si>
    <t>= coverages [select first having coverageCode == "ChildTermLife"]</t>
  </si>
  <si>
    <t>EmployeeCoverageCalculatedClasses</t>
  </si>
  <si>
    <t>= $EWLCoverageCalculation.$Classes</t>
  </si>
  <si>
    <t>= eWLCoverageClassesCalculated [ select first having classNumber == $ClassNumber].$LivesCount</t>
  </si>
  <si>
    <t>= coverages [select first having coverageCode == "AccidentalDeathAndDismemberment"]</t>
  </si>
  <si>
    <t>WaiverCoverage</t>
  </si>
  <si>
    <t>WaiverCoverageCalculation</t>
  </si>
  <si>
    <t>= coverages [select first having coverageCode == "WaiverOfPremium"]</t>
  </si>
  <si>
    <t>= slice (allAges, 20, 21)</t>
  </si>
  <si>
    <t>FiveYearsAgeBandedCalculation</t>
  </si>
  <si>
    <t>FiveYearsLives</t>
  </si>
  <si>
    <t>LivesCountEnrolled</t>
  </si>
  <si>
    <t>= sum($FiveYearsLives)</t>
  </si>
  <si>
    <t>GuaranteedIssueAmountEE</t>
  </si>
  <si>
    <t>= $EWLCoverage.underwriting.guaranteedIssueAmount</t>
  </si>
  <si>
    <t>Benefit Max</t>
  </si>
  <si>
    <t>=  (Integer) round (OneYearAgeBandDistribution ("70") *numberOfLives, 0)</t>
  </si>
  <si>
    <t>FinalPremiumPerCoverage</t>
  </si>
  <si>
    <t>AnnualPremiumBaseWithBlendedAssumptionUnitobaccoWaiverOfPremium</t>
  </si>
  <si>
    <t>AnnualPremiumBaseWithBlendedAssumptionNonTobaccoWaiverOfPremium</t>
  </si>
  <si>
    <t>AnnualPremiumWithBlendedAssumptionTobaccoDisctinctWaiverOfPremium</t>
  </si>
  <si>
    <t>Tabacco Class</t>
  </si>
  <si>
    <t>= annualPremiumBaseWithBlendedAssumptionUnitobacco</t>
  </si>
  <si>
    <t xml:space="preserve">= annualPremiumBaseWithBlendedAssumptionNonTobacco </t>
  </si>
  <si>
    <t xml:space="preserve">= annualPremiumWithBlendedAssumptionTobaccoDisctinct </t>
  </si>
  <si>
    <t>AgeForRateCalc</t>
  </si>
  <si>
    <t>AnnualPremiumPerCoverage</t>
  </si>
  <si>
    <t>Five Years Age Band</t>
  </si>
  <si>
    <t>Composite</t>
  </si>
  <si>
    <t>AgeBandToAge</t>
  </si>
  <si>
    <t>= toInteger(currentAgeBand)</t>
  </si>
  <si>
    <t>SelectAge</t>
  </si>
  <si>
    <t>= CoverageAnnualPremiumsReturned (tobaccoClass, $AnnualPremiumBaseWithBlendedAssumptionUnitobaccoWaiverOfPremium, $AnnualPremiumBaseWithBlendedAssumptionNonTobaccoWaiverOfPremium, $AnnualPremiumWithBlendedAssumptionTobaccoDisctinctWaiverOfPremium)</t>
  </si>
  <si>
    <t>= ModalFactor (premiumMode)</t>
  </si>
  <si>
    <t>= new PolicyPremium($PolicyNumber, $Plan, $RateCardPremium)</t>
  </si>
  <si>
    <t>Spreadsheet SpreadsheetResult PlanCalculation ( Plan plan, CensusEmployee[] census, Date rateEffectiveDate, Boolean noCensus, Double modalFactor )</t>
  </si>
  <si>
    <t>Spreadsheet SpreadsheetResult EWLCoverageCalculation ( Coverage coverage, CensusEmployee[] censusEmployee, Date rateEffectiveDate, Boolean noCensus, Double modalFactor )</t>
  </si>
  <si>
    <t>= new RateCard ($NumberOfLivesAgeBandTobaccoClass, $Volume, $Rate)</t>
  </si>
  <si>
    <t>TobaccoClass*</t>
  </si>
  <si>
    <t>NEW CALCS</t>
  </si>
  <si>
    <t>Class</t>
  </si>
  <si>
    <t>= new Class($ClassNumber, $ClassName, $AgeBandedRateCards, $RateCard, $RateCardPremium)</t>
  </si>
  <si>
    <t>RateCardFull</t>
  </si>
  <si>
    <t>EstimatedAnnualPremium</t>
  </si>
  <si>
    <t>EstimatedMonthlyPremium</t>
  </si>
  <si>
    <t>= new RateCardPremium($EstimatedAnnualPremium, $EstimatedMonthlyPremium)</t>
  </si>
  <si>
    <t>AgeBandedRateCalcs</t>
  </si>
  <si>
    <t>OneYearAgeBandedCalculation</t>
  </si>
  <si>
    <t>=  $FiveYearsAgeBandedCalculation.$NumberOfLivesAgeBandTobaccoClass</t>
  </si>
  <si>
    <t>= $AgeBandedRateCalcs</t>
  </si>
  <si>
    <t>RateCardCalc</t>
  </si>
  <si>
    <t>= new RateCard(sum($RateCardCalc.numberOfLives), sum($RateCardCalc.totalVolume), sum($RateCardCalc.rate))</t>
  </si>
  <si>
    <t>RateCardPremiumCalc</t>
  </si>
  <si>
    <t>= new RateCardPremium(sum($RateCardPremiumCalc.annualPremium),sum($RateCardPremiumCalc.monthlyPremium))</t>
  </si>
  <si>
    <t>= new RateCard(sum($Classes.$RateCard.numberOfLives),sum($Classes.$RateCard.totalVolume),sum($Classes.$RateCard.rate))</t>
  </si>
  <si>
    <t>= new RateCardPremium(sum($Classes.$RateCardPremium.annualPremium),sum($Classes.$RateCardPremium.monthlyPremium))</t>
  </si>
  <si>
    <t>CoveragePremiumAndRate</t>
  </si>
  <si>
    <t>= new CoveragePremiumAndRate($CoverageCode, $RateBasis, $RateCard,$RateCardPremium,$Classes.$Class)</t>
  </si>
  <si>
    <t>= new CoveragePremiumAndRate($CoverageCode,$RateBasis,$RateCard,$RateCardPremium,$Classes.$Class)</t>
  </si>
  <si>
    <t>= flatten($EWLCoverageCalculation.$CoveragePremiumAndRate, $SWLCoverageCalculation.$CoveragePremiumAndRate,$STLCoverageCalculation.$CoveragePremiumAndRate,$CTLCoverageCalculation.$CoveragePremiumAndRate, $ADDCoverageCalculation.$CoveragePremiumAndRate,$WaiverCoverageCalculation.$CoveragePremiumAndRate)</t>
  </si>
  <si>
    <t>= new RateCardPremium(sum($Plan.rateCardPremium.annualPremium), sum($Plan.rateCardPremium.monthlyPremium))</t>
  </si>
  <si>
    <t>= new RateCardPremium(sum($CoverageCalcs.rateCardPremium.annualPremium), sum($CoverageCalcs.rateCardPremium.monthlyPremium))</t>
  </si>
  <si>
    <t>=  (Integer) round (FiveYearsAgeBandDistribution ("18 - 24") * numberOfLives, 0)</t>
  </si>
  <si>
    <t>= smokerIndicator</t>
  </si>
  <si>
    <t>= censusType != "None"</t>
  </si>
  <si>
    <t>CensusTypeValidation</t>
  </si>
  <si>
    <t>= census [select all having employeeCoverages [select first where plan == planCode].eligible == true]</t>
  </si>
  <si>
    <t>= census [select all having employeeCoverages [select first where plan == planCode].elected == true]</t>
  </si>
  <si>
    <t>= noCensus ? null : $CalculateEmployeeInfo [select all having $Age &lt; 66]</t>
  </si>
  <si>
    <t>= noCensus ? null : $CalculateEmployeeInfo [select all having $Age &lt; 71]</t>
  </si>
  <si>
    <t>= new RateCard($NumberOfLives, $Volume,$Rate)</t>
  </si>
  <si>
    <t>= null</t>
  </si>
  <si>
    <t>= $CompositeAgeBandCalculation.$RateCard</t>
  </si>
  <si>
    <t>SelectEWLCalc</t>
  </si>
  <si>
    <t>= eWLCoverageClassesCalculated [ select first having classNumber == $ClassNumber]</t>
  </si>
  <si>
    <t>= $SelectEWLCalc.$LivesCount</t>
  </si>
  <si>
    <t>= $NumberOfLives *  $AnnualSpendPerEE</t>
  </si>
  <si>
    <t>= ewlVolume</t>
  </si>
  <si>
    <t>Spreadsheet SpreadsheetResult ADDClassCalculation ( ClassInfo class, SpreadsheetResultEWLClassCalculation[] eWLCoverageClassesCalculated, CoverageCode coverageCode, Boolean noCensus, RateFormat rateFormat, CensusType censusType, Double targetParticipationPct, Double guaranteedIssueAmountEE, SpreadsheetResultCensusCalculation[] census, Integer overallLength )</t>
  </si>
  <si>
    <t>= $SelectEWLCalc.$RateCard.totalVolume</t>
  </si>
  <si>
    <t>EWLTotalVolume</t>
  </si>
  <si>
    <t>SelectEWLClass</t>
  </si>
  <si>
    <t>= $EWLCoverage.classInputs</t>
  </si>
  <si>
    <t>= coverage.classInputs[select first having isNotEmpty(classNumber)]</t>
  </si>
  <si>
    <t>= useSavedAge</t>
  </si>
  <si>
    <t>= AllFiveYearsAgeBandsTailored ("WaiverOfPremium")</t>
  </si>
  <si>
    <t>= AllOneYearAgeBandsTailored ("WaiverOfPremium")</t>
  </si>
  <si>
    <t>= isEmpty($AgeBand)? null : tobaccoClass</t>
  </si>
  <si>
    <t>= $AgeBand == null? null : tobaccoClass</t>
  </si>
  <si>
    <t>= AllOneYearAgeBandsTailored("SpouseTermLife")</t>
  </si>
  <si>
    <t>PolicyDetails*</t>
  </si>
  <si>
    <t>PlanDetails*</t>
  </si>
  <si>
    <t>EffectiveDate*</t>
  </si>
  <si>
    <t>SitusState*</t>
  </si>
  <si>
    <t>PremiumMode*</t>
  </si>
  <si>
    <t>RateGuaranteePeriod*</t>
  </si>
  <si>
    <t>NumberOfEligibleLives*</t>
  </si>
  <si>
    <t>Portability*</t>
  </si>
  <si>
    <t>CoveragesIncluded*</t>
  </si>
  <si>
    <t>CensusIncluded*</t>
  </si>
  <si>
    <t>SelectCoverage</t>
  </si>
  <si>
    <t>= isNotEmpty(policy.census)? "Yes" : "No"</t>
  </si>
  <si>
    <t>EECoverages</t>
  </si>
  <si>
    <t>= employeeCoverages</t>
  </si>
  <si>
    <t>20001-30000</t>
  </si>
  <si>
    <t>20001 .. 30000</t>
  </si>
  <si>
    <t>10001 .. 20000</t>
  </si>
  <si>
    <t>30001- 40000</t>
  </si>
  <si>
    <t>40001-50000</t>
  </si>
  <si>
    <t>50001-60000</t>
  </si>
  <si>
    <t>60001-70000</t>
  </si>
  <si>
    <t>70001-80000</t>
  </si>
  <si>
    <t>80001-90000</t>
  </si>
  <si>
    <t>90001-100000</t>
  </si>
  <si>
    <t>= new RateCard (null, null, $Rate)</t>
  </si>
  <si>
    <t>= $NumberOfLivesAgeBandTobaccoClass * AverageFaceAmount (coverage.benefitStructure.benefitMax)</t>
  </si>
  <si>
    <t>= $AgeBand == null?  null : new RateCard (null, null, $Rate)</t>
  </si>
  <si>
    <t>= new Class($ClassNumber, $ClassName, $AgeBandedRateCards, $RateCard, null)</t>
  </si>
  <si>
    <t>= new RateCardPremium($AnnualPremium,($AnnualPremium*ModalFactor(premiumMode)))</t>
  </si>
  <si>
    <t>ClassTotalVolume</t>
  </si>
  <si>
    <t>= new RateCard($LivesCount,$ClassTotalVolume,null)</t>
  </si>
  <si>
    <t>ClassAnnualPremium</t>
  </si>
  <si>
    <t>ClassMonthlyPremium</t>
  </si>
  <si>
    <t>= new RateCardPremium($ClassAnnualPremium,$ClassMonthlyPremium)</t>
  </si>
  <si>
    <t>10001-20000</t>
  </si>
  <si>
    <t>30001-40000</t>
  </si>
  <si>
    <t>Spreadsheet SpreadsheetResult EWLClassCalculation ( ClassInfo class, CoverageCode coverageCode, Boolean noCensus, RateFormat rateFormat, CensusType censusType, SpreadsheetResultCensusCalculation[] census, Double targetParticipationPct, Integer eligibleCensusLives, Double guaranteedIssueAmount, Integer overallLength, Coverage coverage, Integer premiumMode,RestorationPct restorationPct, AcceleratedPct acceleratedPct)</t>
  </si>
  <si>
    <t>= (Integer) round ($EmployeeClassLives * 0.29, 0)</t>
  </si>
  <si>
    <t>TotalVolume</t>
  </si>
  <si>
    <t>= new RateCard($LivesCount, $TotalVolume, null)</t>
  </si>
  <si>
    <t>= (Integer) round ($EmployeeClassLives * 0.25)</t>
  </si>
  <si>
    <t>= new RateCard(sum($Classes.$RateCard.numberOfLives),sum($Classes.$RateCard.totalVolume),$Rate)</t>
  </si>
  <si>
    <t>= $Classes.$CompositeAgeBandCalculation.$RateCard[select first having isNotEmpty(rate)]</t>
  </si>
  <si>
    <t>= new RateCard(sum($Classes.$RateCard.numberOfLives),sum($Classes.$RateCard.totalVolume),$Rate.rate)</t>
  </si>
  <si>
    <t>= CompositeAgeBandCalculationADD ($EmployeeClassLives, guaranteedIssueAmountEE,$EWLTotalVolume,premiumMode)</t>
  </si>
  <si>
    <t>= ADDClassCalculation (classInputs, coverageCode,  eWLCoverageClassesCalculated,  guaranteedIssueAmountEE, premiumMode)</t>
  </si>
  <si>
    <t>= new RateCard($EmployeeClassLives,$EWLTotalVolume,$CompositeAgeBandCalculation.$Rate)</t>
  </si>
  <si>
    <t>= new RateCardPremium (sum($Classes.$RateCardPremium.annualPremium),sum($Classes.$RateCardPremium.monthlyPremium))</t>
  </si>
  <si>
    <t>SelectCompositeRate</t>
  </si>
  <si>
    <t>= $Classes[select first having isNotEmpty($CompositeAgeBandCalculation)]</t>
  </si>
  <si>
    <t>= $SelectCompositeRate.$CompositeAgeBandCalculation.$Rate</t>
  </si>
  <si>
    <t>= new RateCardPremium($AnnualPremium,$MonthlyPremium)</t>
  </si>
  <si>
    <t>Spreadsheet SpreadsheetResult WOPClassCalculation ( ClassInfo class, CoverageCode coverageCode, Boolean noCensus, RateFormat rateFormat, CensusType censusType, SpreadsheetResultCensusCalculation[] census, Double targetParticipationPct, Integer eligibleCensusLives, Double guaranteedIssueAmount, Integer overallLength, Coverage coverage,Integer premiumMode,RestorationPct restorationPct, AcceleratedPct acceleratedPct, SpreadsheetResultEWLClassCalculation[] ewlClassCalcs)</t>
  </si>
  <si>
    <t>SelectEWLClassCalc</t>
  </si>
  <si>
    <t>= ewlClassCalcs[select first having $ClassNumber == classNumber]</t>
  </si>
  <si>
    <t>= $SelectEWLClassCalc.$RateCard</t>
  </si>
  <si>
    <t>=  new RateCard($SelectEWLClassCalc.$RateCard.numberOfLives, null, $SelectEWLClassCalc.$RateCard.rate)</t>
  </si>
  <si>
    <t>= new RateCard(sum($Classes.$RateCardFull.numberOfLives),sum($Classes.$RateCardFull.totalVolume),sum($Classes.$RateCardFull.rate))</t>
  </si>
  <si>
    <t>SelectEnrolledEE</t>
  </si>
  <si>
    <t>ClassCensus</t>
  </si>
  <si>
    <t>EEElected</t>
  </si>
  <si>
    <t>= censusEmployee.employeeCoverages[0].elected</t>
  </si>
  <si>
    <t>EnrolledLives</t>
  </si>
  <si>
    <t>= length($SelectEnrolledEE)</t>
  </si>
  <si>
    <t>= censusEES [select all having employeeCoverages[0].classNumber == $ClassNumber]</t>
  </si>
  <si>
    <t>= $ClassCensus[select all having employeeCoverages[0].elected == true]</t>
  </si>
  <si>
    <t>= $SelectEWLClassCalc.$LivesCount</t>
  </si>
  <si>
    <t>= censusType == "Enrolled"? $NumberOfLivesAgeBandTobaccoClass * benefitStructure.flatBenefitAmount : $NumberOfLivesAgeBandTobaccoClass * AverageFaceAmount (coverage.benefitStructure.benefitMax)</t>
  </si>
  <si>
    <t>= censusCalcs[select all having $Age == $CurrentAge &amp;&amp; $Gender == "F"]</t>
  </si>
  <si>
    <t>= (Integer) round ( length (censusCalcs [select all having $OneYearAgeBand == currentAgeBand] ) * 0.15, 0)</t>
  </si>
  <si>
    <t>= (Integer) round ( length (censusCalcs [select all having $OneYearAgeBand == currentAgeBand] ) * 0.85, 0)</t>
  </si>
  <si>
    <t>= length (censusCalcs [select all having $OneYearAgeBand == currentAgeBand] )</t>
  </si>
  <si>
    <t>= censusCalcs[select all having ($Age == $CurrentAge and $Gender == "M")]</t>
  </si>
  <si>
    <t>= classInputs.className</t>
  </si>
  <si>
    <t>= classInputs.classNumber</t>
  </si>
  <si>
    <t>= censusType</t>
  </si>
  <si>
    <t>= $SelectEWLClassCalc.$CensusType == "Enrolled"? benefitStructure.flatBenefitAmount*$SpouseClassLives : sum($RateCardCalc.totalVolume)</t>
  </si>
  <si>
    <t>EligibleLives</t>
  </si>
  <si>
    <t>= ewlClassCalcs [ select first having classNumber == $ClassNumber].$LivesCount</t>
  </si>
  <si>
    <t>= round($NumberOfLivesAgeBandTobaccoClass * $AnnualSpendPerEE,2)</t>
  </si>
  <si>
    <t>RiderVersion</t>
  </si>
  <si>
    <t>= riderVersion</t>
  </si>
  <si>
    <t>Rider2Calculation</t>
  </si>
  <si>
    <t>Rider4Calculation</t>
  </si>
  <si>
    <t>Rider12Calculation</t>
  </si>
  <si>
    <t>Rider13Calculation</t>
  </si>
  <si>
    <t>Rider14EOB200Calculation</t>
  </si>
  <si>
    <t>Rider14EOB300Calculation</t>
  </si>
  <si>
    <t>Version2018Output</t>
  </si>
  <si>
    <t>Version2022Output</t>
  </si>
  <si>
    <t>EOBCalc</t>
  </si>
  <si>
    <t>PremiumRate*</t>
  </si>
  <si>
    <t>DefineAcceleratedPct</t>
  </si>
  <si>
    <t>= totalMonthlyChronicIllnessAmount == 100%? $Rider12Calculation : totalMonthlyChronicIllnessAmount == 200%? ($Rider14EOB200Calculation) : totalMonthlyChronicIllnessAmount == 300%? ($Rider14EOB300Calculation) : null</t>
  </si>
  <si>
    <t>= round($ClassAnnualPremium/12,2)</t>
  </si>
  <si>
    <t>= (Integer)round(ewlCoverageCalc.$RateCard.numberOfLives*0.29)</t>
  </si>
  <si>
    <t>= FiveYearsAgeBandCalculation ($FiveYearsAgeBands, $AllTobaccoClasses, censusType, $LivesCount, census, targetParticipationPct, guaranteedIssueAmount, overallLength, noCensus, "EmployeeWholeLife", rateFormat, coverage,premiumMode)</t>
  </si>
  <si>
    <t>= FiveYearsAgeBandCalculation ($FiveYearsAgeBands, $AllTobaccoClasses, censusType, $LivesCount, census, targetParticipationPct, guaranteedIssueAmount, overallLength, noCensus, "SpouseWholeLife", rateFormat, coverage, premiumMode)</t>
  </si>
  <si>
    <t>= EWLClassCalculation ( classInputs, noCensus,  rateFormat, censusType,  $CalculateEmployeeInfo,  fundingStructure.targetParticipationPct, $EligibleCensusLives, underwriting.guaranteedIssueAmount, $OverallLength, coverage, premiumMode, census)</t>
  </si>
  <si>
    <t>= sum($Classes.$RateCardPremium.annualPremium)</t>
  </si>
  <si>
    <t>= round($AnnualPremium/12,2)</t>
  </si>
  <si>
    <t>= anyTrue (policy.plans[0].coverages[0].censusType == "Eligible",policy.plans[0].coverages[0].censusType == "Enrolled") and isEmpty(census)</t>
  </si>
  <si>
    <t>= getValues(OneYearAgeBand)</t>
  </si>
  <si>
    <t>= getValues(FiveYearsAgeBand)</t>
  </si>
  <si>
    <t>TotalCensus</t>
  </si>
  <si>
    <t>DistributionRate*</t>
  </si>
  <si>
    <t>= length(censusCalcs)</t>
  </si>
  <si>
    <t>Spreadsheet SpreadsheetResult RDPlanDetails (PolicyPremium policyCalc, Policy policy,SpreadsheetResultCensusCalculation[] censusCalcs)</t>
  </si>
  <si>
    <t>SelectPlanCalc</t>
  </si>
  <si>
    <t>ModalFactor</t>
  </si>
  <si>
    <t>CensusCalculation</t>
  </si>
  <si>
    <t>DefaultCoverage</t>
  </si>
  <si>
    <t>= policy.plans[0].coverages[select first having coverageCode =="EmployeeWholeLife"]</t>
  </si>
  <si>
    <t>OneYearAgeBandDstributionRates</t>
  </si>
  <si>
    <t>FiveYearsAgeBandDstributionRates</t>
  </si>
  <si>
    <t>ContentValidationAndOutput</t>
  </si>
  <si>
    <t>CensusDistribution*</t>
  </si>
  <si>
    <t>PlanPremiumAndRate</t>
  </si>
  <si>
    <t>1YearTobaccoNonTobacco, 5YearTobaccoNonTobacco</t>
  </si>
  <si>
    <t>Composite, 1YearUniTobacco, 5YearUniTobacco</t>
  </si>
  <si>
    <t>1YearUniTobacco</t>
  </si>
  <si>
    <t>1YearTobaccoNonTobacco</t>
  </si>
  <si>
    <t>5YearUniTobacco</t>
  </si>
  <si>
    <t>5YearTobaccoNonTobacco</t>
  </si>
  <si>
    <t>= (rateFormat == "1YearUniTobacco" ||rateFormat == "1YearTobaccoNonTobacco")? $OneYearAgeBandedCalculation.$AgeBandedRateCard : (rateFormat == "5YearUniTobacco" ||rateFormat == "5YearTobaccoNonTobacco")? $FiveYearsAgeBandedCalculation.$AgeBandedRateCard : null</t>
  </si>
  <si>
    <t>= (rateFormat == "1YearUniTobacco" ||rateFormat == "1YearTobaccoNonTobacco")? $OneYearAgeBandedCalculation.$RateCardFull : (rateFormat == "5YearUniTobacco" ||rateFormat == "5YearTobaccoNonTobacco")? $FiveYearsAgeBandedCalculation.$RateCardFull: null</t>
  </si>
  <si>
    <t>= TobaccoClasses ("1YearUniTobacco")</t>
  </si>
  <si>
    <t>= (rateFormat == "1YearUniTobacco" ||rateFormat == "1YearTobaccoNonTobacco")? $OneYearAgeBandedCalculation.$AgeBandedRateCard :  (rateFormat == "5YearUniTobacco" ||rateFormat == "5YearTobaccoNonTobacco")? $FiveYearsAgeBandedCalculation.$AgeBandedRateCard : null</t>
  </si>
  <si>
    <t>= (rateFormat == "1YearUniTobacco" ||rateFormat == "1YearTobaccoNonTobacco")? $OneYearAgeBandedCalculation.$RateCardFull :  (rateFormat == "5YearUniTobacco" ||rateFormat == "5YearTobaccoNonTobacco")? $FiveYearsAgeBandedCalculation.$RateCardFull : null</t>
  </si>
  <si>
    <t>=  $RiderVersion == "MonthlyChronicIll2018"? $Version2018Output : $Version2022Output</t>
  </si>
  <si>
    <t>= ($RiderVersion == "MonthlyChronicIll2022" and restorationOfBenefit == true)? $Rider13Calculation + $EOBCalc : $EOBCalc</t>
  </si>
  <si>
    <t>= ($RiderVersion == "MonthlyChronicIll2018" and restorationOfBenefit == true)? $Rider4Calculation : $Rider2Calculation</t>
  </si>
  <si>
    <t>= benefitType == "AmountSingleValue"? ($NumberOfLives) * flatBenefitAmount : ($NumberOfLives *  benefitMax)</t>
  </si>
  <si>
    <t>= benefitStructure.benefitType == "AmountSingleValue"? benefitStructure.flatBenefitAmount*$LivesCount : AverageFaceAmount(benefitStructure.benefitMax) * $LivesCount</t>
  </si>
  <si>
    <t>= benefitStructure.benefitType == "AmountSingleValue"? $SpouseClassLives * SpouseAverageFaceAmount(underwriting.guaranteedIssueAmount) : $SpouseClassLives * SpouseAverageFaceAmount(benefitStructure.benefitMax)</t>
  </si>
  <si>
    <t>= benefitStructure.benefitType == "AmountSingleValue"?  $Lives * SpouseAverageFaceAmount(underwriting.guaranteedIssueAmount) : $Lives * SpouseAverageFaceAmount (benefitStructure.benefitMax)</t>
  </si>
  <si>
    <t>= riderVersion == "MonthlyChronicIll2018"? acceleratedConfinementBenefitPct : monthlyADBPct</t>
  </si>
  <si>
    <t>CensusDistribution</t>
  </si>
  <si>
    <t>CensusDistribution1Y</t>
  </si>
  <si>
    <t>CensusDistribution5Y</t>
  </si>
  <si>
    <t>EWLAgeBand</t>
  </si>
  <si>
    <t>=  RDRateFormatToAgeBand (rateFormat)</t>
  </si>
  <si>
    <t>DistributionRate1Y</t>
  </si>
  <si>
    <t>DistributionRate5Y</t>
  </si>
  <si>
    <t>= OneYearAgeBandDistribution (oneYearAgeBand)</t>
  </si>
  <si>
    <t>= FiveYearsAgeBandDistribution (fiveYearsAgeBand)</t>
  </si>
  <si>
    <t>= new CensusDistribution(oneYearAgeBand,$DistributionRate1Y)</t>
  </si>
  <si>
    <t>DefaultCensusDistribution</t>
  </si>
  <si>
    <t>= ageBand</t>
  </si>
  <si>
    <t>= new CensusDistribution(fiveYearsAgeBand,$DistributionRate5Y)</t>
  </si>
  <si>
    <t>= $CurrentAgeBand == "OneYearAgeBand"? $CensusDistribution1Y : $CurrentAgeBand == "FiveYearsAgeBand"? $CensusDistribution5Y : null</t>
  </si>
  <si>
    <t>TobaccoAdjustmentRate</t>
  </si>
  <si>
    <t>NonTobaccoAdjustmentRate</t>
  </si>
  <si>
    <t>CensusDistribution1YTobacco</t>
  </si>
  <si>
    <t>= new CensusDistribution(oneYearAgeBand,$DistributionRate1Y*$TobaccoAdjustmentRate)</t>
  </si>
  <si>
    <t>CensusDistribution1YNonTobacco</t>
  </si>
  <si>
    <t>= new CensusDistribution(oneYearAgeBand,$DistributionRate1Y*$NonTobaccoAdjustmentRate)</t>
  </si>
  <si>
    <t>CensusDistribution5YTobacco</t>
  </si>
  <si>
    <t>= new CensusDistribution(fiveYearsAgeBand,$DistributionRate5Y*$TobaccoAdjustmentRate)</t>
  </si>
  <si>
    <t>CensusDistribution5YNonTobacco</t>
  </si>
  <si>
    <t>= new CensusDistribution(fiveYearsAgeBand,$DistributionRate5Y*$NonTobaccoAdjustmentRate)</t>
  </si>
  <si>
    <t>AAEB WHL Lookups-CW*</t>
  </si>
  <si>
    <t>= BlendedGenderAssumption("F")*TobaccoClassAssumption("Tobacco","F") + BlendedGenderAssumption("M")*TobaccoClassAssumption("Tobacco","M")</t>
  </si>
  <si>
    <t>= BlendedGenderAssumption("F")*TobaccoClassAssumption("NonTobacco","F") + BlendedGenderAssumption("M")*TobaccoClassAssumption("NonTobacco","M")</t>
  </si>
  <si>
    <t>Validation1</t>
  </si>
  <si>
    <t>= $CurrentAgeBand == "OneYearAgeBand"</t>
  </si>
  <si>
    <t>Validation2</t>
  </si>
  <si>
    <t>= $CurrentAgeBand == "FiveYearsAgeBand"</t>
  </si>
  <si>
    <t>Validation3</t>
  </si>
  <si>
    <t>= tobaccoClass == "Tobacco"</t>
  </si>
  <si>
    <t>Validation4</t>
  </si>
  <si>
    <t>= tobaccoClass =="NonTobacco"</t>
  </si>
  <si>
    <t>= allTrue($Validation1,$Validation3)? $CensusDistribution1YTobacco : allTrue($Validation2,$Validation3)? $CensusDistribution5YTobacco : allTrue($Validation1,$Validation4)? $CensusDistribution1YNonTobacco : allTrue($Validation2,$Validation4)? $CensusDistribution5YNonTobacco : null</t>
  </si>
  <si>
    <t>= RDDefaultDistributionCalc ($OneYearAgeBand,$FiveYearsAgeBand,$EWLAgeBand)[ (p) transform unique to p]</t>
  </si>
  <si>
    <t>CensusCalcs</t>
  </si>
  <si>
    <t>AverageAge*</t>
  </si>
  <si>
    <t>AverageEEVolume*</t>
  </si>
  <si>
    <t>SortedAnnualSalary</t>
  </si>
  <si>
    <t>TopSecondAnnualSalary*</t>
  </si>
  <si>
    <t>TopFirstAnnualSalary*</t>
  </si>
  <si>
    <t>LengthCalculatedCensus</t>
  </si>
  <si>
    <t>MalePct*</t>
  </si>
  <si>
    <t>FemalePct*</t>
  </si>
  <si>
    <t>= round(avg($CensusCalcs.$Age),0)</t>
  </si>
  <si>
    <t>= round(avg($CensusCalcs.$AnnualSalary),2)</t>
  </si>
  <si>
    <t>= $CensusCalcs[order decreasing by $AnnualSalary].$AnnualSalary</t>
  </si>
  <si>
    <t>= length($CensusCalcs)</t>
  </si>
  <si>
    <t>= censusCalcs</t>
  </si>
  <si>
    <t>= $LengthCalculatedCensus &gt; 0? length($CensusCalcs[select all having $Gender == "M"])/ $LengthCalculatedCensus : 0</t>
  </si>
  <si>
    <t>= $LengthCalculatedCensus &gt; 0? length($CensusCalcs[select all having $Gender == "F"])/ $LengthCalculatedCensus : 0</t>
  </si>
  <si>
    <t>= round(avg($CensusCalcs.$CensusVolume),2)</t>
  </si>
  <si>
    <t>= round (length($SortedAnnualSalary) &gt;=1? $SortedAnnualSalary[0])</t>
  </si>
  <si>
    <t>TopThirdAnnualSalary*</t>
  </si>
  <si>
    <t>= round (length($SortedAnnualSalary) &gt;=2? $SortedAnnualSalary[1])</t>
  </si>
  <si>
    <t>= round (length($SortedAnnualSalary) &gt;=3? $SortedAnnualSalary[2])</t>
  </si>
  <si>
    <t>LivesByAgeBands1Y</t>
  </si>
  <si>
    <t>LivesByAgeBands5Y</t>
  </si>
  <si>
    <t>RateFormatEWL</t>
  </si>
  <si>
    <t>NumberOfLivesPerAgeBands</t>
  </si>
  <si>
    <t>Pct*</t>
  </si>
  <si>
    <t>= isNotEmpty(censusCalcs)? RDLivesPerAgeBandCalc1Y (censusCalcs, $OneYearAgeBands) : null</t>
  </si>
  <si>
    <t>= isNotEmpty(censusCalcs)? RDLivesPerAgeBandCalc5Y (censusCalcs, $FiveYearsAgeBands) : null</t>
  </si>
  <si>
    <t>= length (censusCalcs[select all having  $FiveYearsAgeBand == currentAgeBand])</t>
  </si>
  <si>
    <t>= round($NumberOfLives / length (censusCalcs), 2)</t>
  </si>
  <si>
    <t>= isNotEmpty ($NumberOfLivesPerAgeBands) and $NumberOfLivesPerAgeBands &gt; 0 ? $NumberOfLivesPerAgeBands : 0</t>
  </si>
  <si>
    <t>= length (censusCalcs[select all having  $OneYearAgeBand == currentAgeBand])</t>
  </si>
  <si>
    <t>AgeBandedResults</t>
  </si>
  <si>
    <t>= $AgeBandedResults.$NumberOfLives</t>
  </si>
  <si>
    <t>= $AgeBandedResults.$Pct</t>
  </si>
  <si>
    <t>= $AgeBandedResults.$AgeBand</t>
  </si>
  <si>
    <t>= rateFormat == "5YearTobaccoNonTobacco" || rateFormat == "5YearUniTobacco" ? calcs5Y : calcs1Y</t>
  </si>
  <si>
    <t>= $RateFormatEWL == "5YearTobaccoNonTobacco" || $RateFormatEWL== "5YearUniTobacco" ? RDAgeBandDistribution ($RateFormatEWL,null,$LivesByAgeBands5Y) : RDAgeBandDistribution ($RateFormatEWL,$LivesByAgeBands1Y,null)</t>
  </si>
  <si>
    <t>CurrentTobaccoStatus*</t>
  </si>
  <si>
    <t>TobaccoClassBusiness*</t>
  </si>
  <si>
    <t>NumberOfLivesByTobaccoStatus~</t>
  </si>
  <si>
    <t>= LivesTobaccoClassBusiness($CurrentTobaccoStatus)</t>
  </si>
  <si>
    <t>= isNotEmpty($NumberOfLivesByTobaccoStatus) and $NumberOfLivesByTobaccoStatus &gt; 0? $NumberOfLivesByTobaccoStatus : 0</t>
  </si>
  <si>
    <t>BusinessName</t>
  </si>
  <si>
    <t>Non-Tobacco</t>
  </si>
  <si>
    <t>Not defined</t>
  </si>
  <si>
    <t>EmployeeTobaccoStatus</t>
  </si>
  <si>
    <t>= getValues(TobaccoClass)</t>
  </si>
  <si>
    <t>AllTobaccoClass</t>
  </si>
  <si>
    <t>FilteredCensus</t>
  </si>
  <si>
    <t>= FilteredCensus ($DefaultCoverage.censusType, policy.plans[0].planCode, census)</t>
  </si>
  <si>
    <t>DefineRestorationOfBenefit</t>
  </si>
  <si>
    <t>= riderVersion == "MonthlyChronicIll2018"? restorationOfBenefit : deathBenefitRestorationType == "None"? false : true</t>
  </si>
  <si>
    <t>Spreadsheet SpreadsheetResult PolicyCalculation (Policy policy)</t>
  </si>
  <si>
    <t>= currentBenefitAmount</t>
  </si>
  <si>
    <t>BenefitAmount*</t>
  </si>
  <si>
    <t>MonthlyPremiumAmount*</t>
  </si>
  <si>
    <t>PremiumsByBenefitAmount</t>
  </si>
  <si>
    <t>= RDRateFormatToAgeBand(rateFormat)</t>
  </si>
  <si>
    <t>AgeBandSelection</t>
  </si>
  <si>
    <t>ClassNumber</t>
  </si>
  <si>
    <t>= coverage.classInputs[select all having isNotEmpty(classNumber)].classNumber</t>
  </si>
  <si>
    <t>BenefitAmountCalc</t>
  </si>
  <si>
    <t>RangeBenefitAmounts</t>
  </si>
  <si>
    <t>= coverage.CoverageCode</t>
  </si>
  <si>
    <t>Min</t>
  </si>
  <si>
    <t>Max</t>
  </si>
  <si>
    <t>= coverage.benefitStructure.benefitMax</t>
  </si>
  <si>
    <t>= coverage.benefitStructure.benefitMin</t>
  </si>
  <si>
    <t>= removeNulls (flatten ($Min, RDBenefitAmountsRange($Min,$Max,$Increment)))</t>
  </si>
  <si>
    <t>Increment</t>
  </si>
  <si>
    <t>= coverage.benefitStructure.increment</t>
  </si>
  <si>
    <t>NextBenefit</t>
  </si>
  <si>
    <t>= min + increment</t>
  </si>
  <si>
    <t>BenefitAmountsRange</t>
  </si>
  <si>
    <t>= $NextBenefit &lt; max? flatten($NextBenefit, RDBenefitAmountsRange($NextBenefit,max,increment)) : ($NextBenefit == max)? $NextBenefit</t>
  </si>
  <si>
    <t>PremiumRatesByBenefitAmounts</t>
  </si>
  <si>
    <t>= coverage.benefitStructure.benefitType =="AmountSingleValue"? coverage.benefitStructure.flatBenefitAmount : coverage.benefitStructure.benefitType == "AmountRangeValues"? $RangeBenefitAmounts</t>
  </si>
  <si>
    <t>= $AgeBandSelection == "OneYearAgeBand"? $OneYearAgeBands : $AgeBandSelection == "FiveYearsAgeBand"? $FiveYearsAgeBands : "Composite"</t>
  </si>
  <si>
    <t>MonthlyPremiumCalc</t>
  </si>
  <si>
    <t>AgeBandedRateCards</t>
  </si>
  <si>
    <t>AgeBandPremiums</t>
  </si>
  <si>
    <t>= policyRateCardPremium.annualPremium</t>
  </si>
  <si>
    <t>= policyRateCardPremium.monthlyPremium</t>
  </si>
  <si>
    <t>= RDPolicyDetails(policyRateCardPremium, policy)</t>
  </si>
  <si>
    <t>= $SelectPlanCalc.$PlanName</t>
  </si>
  <si>
    <t>= $SelectPlanCalc.$PlanCode</t>
  </si>
  <si>
    <t>= planCalcs[select first having isNotEmpty($PlanName)]</t>
  </si>
  <si>
    <t>= policy.plans[0].coverages.coverageCode</t>
  </si>
  <si>
    <t>AgeBandedRateCardFull</t>
  </si>
  <si>
    <t>SelectFullAgeBandCalc</t>
  </si>
  <si>
    <t>= (rateFormat == "1YearUniTobacco" ||rateFormat == "1YearTobaccoNonTobacco")? $OneYearAgeBandedCalculation : (rateFormat == "5YearUniTobacco" ||rateFormat == "5YearTobaccoNonTobacco")? $FiveYearsAgeBandedCalculation : null</t>
  </si>
  <si>
    <t>= (rateFormat == "1YearUniTobacco" ||rateFormat == "1YearTobaccoNonTobacco")? $OneYearAgeBandedCalculation :  (rateFormat == "5YearUniTobacco" ||rateFormat == "5YearTobaccoNonTobacco")? $FiveYearsAgeBandedCalculation : null</t>
  </si>
  <si>
    <t>CoverageCalc</t>
  </si>
  <si>
    <t>SelectCensusByAgeBand</t>
  </si>
  <si>
    <t>= ageBand == "OneYearAgeBand"? ageBand1Y : ageBand == "FiveYearsAgeBand"? ageBand5Y : "Composite"</t>
  </si>
  <si>
    <t>CurrentAgeBand*</t>
  </si>
  <si>
    <t>= length(ageBand == "OneYearAgeBand"? censusCalcs[select all having $OneYearAgeBand == $CurrentAgeBand] : censusCalcs[select all having $FiveYearsAgeBand == $CurrentAgeBand] )</t>
  </si>
  <si>
    <t>= new CensusDistribution($CurrentAgeBand,$DistributionRate)</t>
  </si>
  <si>
    <t>TobaccoCensusCalcs</t>
  </si>
  <si>
    <t>= censusCalcs[select all having $SmokerIndicator == true]</t>
  </si>
  <si>
    <t>NonTobaccoCensusCalcs</t>
  </si>
  <si>
    <t>= totalCensus</t>
  </si>
  <si>
    <t>= RDCensusDistributionCalc (censusCalcs,$OneYearAgeBand,null,$EWLAgeBand,$TotalCensus)</t>
  </si>
  <si>
    <t>= RDCensusDistributionCalc ($TobaccoCensusCalcs,$OneYearAgeBand,null,$EWLAgeBand,$TotalCensus)</t>
  </si>
  <si>
    <t>= RDCensusDistributionCalc ($NonTobaccoCensusCalcs,$OneYearAgeBand,null,$EWLAgeBand,$TotalCensus)</t>
  </si>
  <si>
    <t>= RDCensusDistributionCalc (censusCalcs,null,$FiveYearsAgeBand,$EWLAgeBand,$TotalCensus)</t>
  </si>
  <si>
    <t>= RDCensusDistributionCalc ($TobaccoCensusCalcs,null,$FiveYearsAgeBand,$EWLAgeBand,$TotalCensus)</t>
  </si>
  <si>
    <t>= RDCensusDistributionCalc ($NonTobaccoCensusCalcs,null,$FiveYearsAgeBand,$EWLAgeBand,$TotalCensus)</t>
  </si>
  <si>
    <t>= flatten(planCalc.$EWLCoverageCalculation.$Classes[0].$SelectFullAgeBandCalc.$AgeBandedRateCardFull)[(p)transform unique to p]</t>
  </si>
  <si>
    <t>= flatten(planCalc.$SWLCoverageCalculation.$Classes[0].$SelectFullAgeBandCalc.$AgeBandedRateCardFull)[(p)transform unique to p]</t>
  </si>
  <si>
    <t>= flatten(planCalc.$STLCoverageCalculation.$Classes[0].$OneYearAgeBandedCalculation.$AgeBandedRateCardFull)</t>
  </si>
  <si>
    <t>= flatten(planCalc.$WaiverCoverageCalculation.$Classes[0].$AgeBandedRateCards)</t>
  </si>
  <si>
    <t>= flatten(RDPremiumsByBenefitAmountCalc($AgeBand,$CoverageCalc,$BenefitAmountCalc,$AgeBandedRateCards))</t>
  </si>
  <si>
    <t>= planCalc.$PlanPremiumAndRate.coverageCalcs[select first having coverageCode == $CoverageCode]</t>
  </si>
  <si>
    <t>Tier</t>
  </si>
  <si>
    <t>Tier1</t>
  </si>
  <si>
    <t>SpouseWholeLife,SpouseTermLife</t>
  </si>
  <si>
    <t>Tier2</t>
  </si>
  <si>
    <t>Tier3</t>
  </si>
  <si>
    <t>TiersIncluded</t>
  </si>
  <si>
    <t>TierCard</t>
  </si>
  <si>
    <t>= RDCoverageTierSplit($CoverageCode)</t>
  </si>
  <si>
    <t>SelectTierCards</t>
  </si>
  <si>
    <t>FilterByAgeBand</t>
  </si>
  <si>
    <t>FilterByBenefitAmount</t>
  </si>
  <si>
    <t>TierName*</t>
  </si>
  <si>
    <t>= currentTier</t>
  </si>
  <si>
    <t>= tierCards[select all having tierName == currentTier]</t>
  </si>
  <si>
    <t>= $SelectTierCards[select all having ageBand == currentAgeBand]</t>
  </si>
  <si>
    <t>= $FilterByAgeBand[select all having benefitAmount == currentBenefitAmount]</t>
  </si>
  <si>
    <t>= new TierCard($Tier,$CoverageCode,$AgeBand,$BenefitAmount,$MonthlyPremiumAmount)</t>
  </si>
  <si>
    <t>TierBenefitAmounts</t>
  </si>
  <si>
    <t>TierAgeBands</t>
  </si>
  <si>
    <t>TierName</t>
  </si>
  <si>
    <t>TierCalcs</t>
  </si>
  <si>
    <t>= $SelectTierCards.benefitAmount[(p) transform unique to p]</t>
  </si>
  <si>
    <t>= $SelectTierCards.ageBand[(p) transform unique to p]</t>
  </si>
  <si>
    <t>EmployeeWholeLife,AccidentalDeathAndDismemberment,WaiverOfPremium</t>
  </si>
  <si>
    <t>ValidateADD</t>
  </si>
  <si>
    <t>= contains($SelectTierCards.coverageCode,"AccidentalDeathAndDismemberment")</t>
  </si>
  <si>
    <t>= (addIncluded and $AgeBand == "Composite")? null : new TierCard($TierName,null,$AgeBand,$BenefitAmount,$MonthlyPremiumAmount)</t>
  </si>
  <si>
    <t>BenefitAmount</t>
  </si>
  <si>
    <t>LivesByTobacco*</t>
  </si>
  <si>
    <t>LivesByAgeBand*</t>
  </si>
  <si>
    <t>DemographicStatistics*</t>
  </si>
  <si>
    <t>= situsState</t>
  </si>
  <si>
    <t>= premiumMode</t>
  </si>
  <si>
    <t>= rateGuaranteePeriod</t>
  </si>
  <si>
    <t>= numberOfEligibleLives</t>
  </si>
  <si>
    <t>Plan</t>
  </si>
  <si>
    <t>PolicyPremium</t>
  </si>
  <si>
    <t>AVGAnnualSalary*</t>
  </si>
  <si>
    <t>= portability? "Yes" : "No"</t>
  </si>
  <si>
    <t>= toString(rateEffectiveDate)</t>
  </si>
  <si>
    <t>CoveragesListed</t>
  </si>
  <si>
    <t>= RDCoverageTierSplit($CoveragesListed)[(p) transform unique to p]</t>
  </si>
  <si>
    <t>= coverage</t>
  </si>
  <si>
    <t>= RDCoveragesListed($CoveragesListed)</t>
  </si>
  <si>
    <t>CensusDistributionPrecalc</t>
  </si>
  <si>
    <t>= distributionRate</t>
  </si>
  <si>
    <t>LivesByAgeBandPrecalc</t>
  </si>
  <si>
    <t>= abDistribution.$AgeBand</t>
  </si>
  <si>
    <t>= abDistribution.$NumberOfLives</t>
  </si>
  <si>
    <t>= abDistribution.$Pct</t>
  </si>
  <si>
    <t>Pct</t>
  </si>
  <si>
    <t>= RDLivesByAgeBandListed($LivesByAgeBandPrecalc)</t>
  </si>
  <si>
    <t>RatesByBenefitAmountPrecalc</t>
  </si>
  <si>
    <t>RatesByBenefitAmountTier1*</t>
  </si>
  <si>
    <t>FilterTier1Cards</t>
  </si>
  <si>
    <t>= $RatesByBenefitAmountPrecalc[select all having tierName == "Tier1"]</t>
  </si>
  <si>
    <t>FilterTier2Cards</t>
  </si>
  <si>
    <t>FilterTier3Cards</t>
  </si>
  <si>
    <t>= $RatesByBenefitAmountPrecalc[select all having tierName == "Tier2"]</t>
  </si>
  <si>
    <t>= $RatesByBenefitAmountPrecalc[select all having tierName == "Tier3"]</t>
  </si>
  <si>
    <t>RatesByBenefitAmountTier2*</t>
  </si>
  <si>
    <t>RatesByBenefitAmountTier3*</t>
  </si>
  <si>
    <t>= benefitAmount</t>
  </si>
  <si>
    <t>Tobacco,NonTobacco</t>
  </si>
  <si>
    <t>= RDListedTierCards($FilterTier3Cards)</t>
  </si>
  <si>
    <t>DefaultDistribution1Y*</t>
  </si>
  <si>
    <t>DefaultTobaccoDistribution1Y*</t>
  </si>
  <si>
    <t>DefaultNonTobaccoDistribution1Y*</t>
  </si>
  <si>
    <t>CensusDistribution1Y*</t>
  </si>
  <si>
    <t>CensusTobaccoDistribution1Y*</t>
  </si>
  <si>
    <t>CensusNonTobaccoDistribution1Y*</t>
  </si>
  <si>
    <t>DefaultDistribution5Y*</t>
  </si>
  <si>
    <t>DefaultTobaccoDistribution5Y*</t>
  </si>
  <si>
    <t>DefaultNonTobaccoDistribution5Y*</t>
  </si>
  <si>
    <t>CensusDistribution5Y*</t>
  </si>
  <si>
    <t>CensusTobaccoDistribution5Y*</t>
  </si>
  <si>
    <t>CensusNonTobaccoDistribution5Y*</t>
  </si>
  <si>
    <t>defaultDistribution1Y</t>
  </si>
  <si>
    <t>defaultTobaccoDistribution1Y</t>
  </si>
  <si>
    <t>defaultNonTobaccoDistribution1Y</t>
  </si>
  <si>
    <t>defaultDistribution5Y</t>
  </si>
  <si>
    <t>defaultTobaccoDistribution5Y</t>
  </si>
  <si>
    <t>defaultNonTobaccoDistribution5Y</t>
  </si>
  <si>
    <t>null</t>
  </si>
  <si>
    <t>censusDistribution1Y</t>
  </si>
  <si>
    <t>censusTobaccoDistribution1Y</t>
  </si>
  <si>
    <t>censusNonTobaccoDistribution1Y</t>
  </si>
  <si>
    <t>censusDistribution5Y</t>
  </si>
  <si>
    <t>censusTobaccoDistribution5Y</t>
  </si>
  <si>
    <t>censusNonTobaccoDistribution5Y</t>
  </si>
  <si>
    <t>DistributionList</t>
  </si>
  <si>
    <t>= distributionCalc.$CensusDistribution</t>
  </si>
  <si>
    <t>= (TobaccoClasses ($SelectCoverage.rateFormat))</t>
  </si>
  <si>
    <t>= (tobaccoClass == "Tobacco" or tobaccoClass == "NonTobacco")? "Tobacco" : "UniTobacco"</t>
  </si>
  <si>
    <t>= RDDefaultTobaccoDistributionCalc ($OneYearAgeBand ,$FiveYearsAgeBand , $EWLAgeBand, "Tobacco")[ (p) transform unique to p]</t>
  </si>
  <si>
    <t>= RDDefaultTobaccoDistributionCalc ($OneYearAgeBand ,$FiveYearsAgeBand , $EWLAgeBand, "NonTobacco")[ (p) transform unique to p]</t>
  </si>
  <si>
    <t>TobaccoClassCalc</t>
  </si>
  <si>
    <t>= contains($TobaccoClassCalc, "Tobacco") or contains($TobaccoClassCalc, "NonTobacco")? "Tobacco" : "UniTobacco"</t>
  </si>
  <si>
    <t>Header</t>
  </si>
  <si>
    <t>= contains($DistributionList,"defaultDistribution1Y")? RDDistributionListed(distributionCalc.$DefaultDistribution1Y,"defaultDistribution1Y") : null</t>
  </si>
  <si>
    <t>= contains($DistributionList,"defaultTobaccoDistribution1Y")? RDDistributionListed(distributionCalc.$DefaultTobaccoDistribution1Y,"defaultTobaccoDistribution1Y") : null</t>
  </si>
  <si>
    <t>= contains($DistributionList,"defaultNonTobaccoDistribution1Y")? RDDistributionListed(distributionCalc.$DefaultNonTobaccoDistribution1Y,"defaultNonTobaccoDistribution1Y") : null</t>
  </si>
  <si>
    <t>= contains($DistributionList,"censusDistribution1Y")? RDDistributionListed(distributionCalc.$CensusDistribution1Y,"censusDistribution1Y") : null</t>
  </si>
  <si>
    <t>= contains($DistributionList,"censusTobaccoDistribution1Y")? RDDistributionListed(distributionCalc.$CensusTobaccoDistribution1Y,"censusTobaccoDistribution1Y") : null</t>
  </si>
  <si>
    <t>= contains($DistributionList,"censusNonTobaccoDistribution1Y")? RDDistributionListed(distributionCalc.$CensusNonTobaccoDistribution1Y,"censusNonTobaccoDistribution1Y") : null</t>
  </si>
  <si>
    <t>= contains($DistributionList,"defaultDistribution5Y")? RDDistributionListed(distributionCalc.$DefaultDistribution5Y,"defaultDistribution5Y") : null</t>
  </si>
  <si>
    <t>= contains($DistributionList,"defaultTobaccoDistribution5Y")? RDDistributionListed(distributionCalc.$DefaultTobaccoDistribution5Y,"defaultTobaccoDistribution5Y") : null</t>
  </si>
  <si>
    <t>= contains($DistributionList,"defaultNonTobaccoDistribution5Y")? RDDistributionListed(distributionCalc.$DefaultNonTobaccoDistribution5Y,"defaultNonTobaccoDistribution5Y") : null</t>
  </si>
  <si>
    <t>= contains($DistributionList,"censusDistribution5Y")? RDDistributionListed(distributionCalc.$CensusDistribution5Y,"censusDistribution5Y") : null</t>
  </si>
  <si>
    <t>= contains($DistributionList,"censusTobaccoDistribution5Y")? RDDistributionListed(distributionCalc.$CensusTobaccoDistribution5Y,"censusTobaccoDistribution5Y") : null</t>
  </si>
  <si>
    <t>= contains($DistributionList,"censusNonTobaccoDistribution5Y")? RDDistributionListed(distributionCalc.$CensusNonTobaccoDistribution5Y,"censusNonTobaccoDistribution5Y") : null</t>
  </si>
  <si>
    <t>AllDistributions</t>
  </si>
  <si>
    <t>CensusNonTobaccoDistribution5Y</t>
  </si>
  <si>
    <t>CensusTobaccoDistribution5Y</t>
  </si>
  <si>
    <t>DefaultNonTobaccoDistribution5Y</t>
  </si>
  <si>
    <t>DefaultTobaccoDistribution5Y</t>
  </si>
  <si>
    <t>DefaultDistribution5Y</t>
  </si>
  <si>
    <t>CensusNonTobaccoDistribution1Y</t>
  </si>
  <si>
    <t>CensusTobaccoDistribution1Y</t>
  </si>
  <si>
    <t>DefaultNonTobaccoDistribution1Y</t>
  </si>
  <si>
    <t>DefaultTobaccoDistribution1Y</t>
  </si>
  <si>
    <t>DefaultDistribution1Y</t>
  </si>
  <si>
    <t>AllDistributionsNew</t>
  </si>
  <si>
    <t>= removeNulls($AllDistributions)</t>
  </si>
  <si>
    <t>= RDListedAgeDistributions ($CensusDistributionPrecalc).$AllDistributionsNew</t>
  </si>
  <si>
    <r>
      <t xml:space="preserve">SmartRules Boolean </t>
    </r>
    <r>
      <rPr>
        <b/>
        <sz val="9"/>
        <color theme="1"/>
        <rFont val="Franklin Gothic Book"/>
        <family val="2"/>
      </rPr>
      <t>GenderCheck</t>
    </r>
    <r>
      <rPr>
        <sz val="9"/>
        <color theme="1"/>
        <rFont val="Franklin Gothic Book"/>
        <family val="2"/>
      </rPr>
      <t xml:space="preserve"> ( CensusEmployee employeeRecord )</t>
    </r>
  </si>
  <si>
    <r>
      <t xml:space="preserve">SmartRules Boolean </t>
    </r>
    <r>
      <rPr>
        <b/>
        <sz val="9"/>
        <color theme="1"/>
        <rFont val="Franklin Gothic Book"/>
        <family val="2"/>
      </rPr>
      <t>ClassesCheck</t>
    </r>
    <r>
      <rPr>
        <sz val="9"/>
        <color theme="1"/>
        <rFont val="Franklin Gothic Book"/>
        <family val="2"/>
      </rPr>
      <t xml:space="preserve"> ( CensusEmployee employeeRecord )</t>
    </r>
  </si>
  <si>
    <r>
      <t xml:space="preserve">SmartRules CensusEmployee[] </t>
    </r>
    <r>
      <rPr>
        <b/>
        <sz val="11"/>
        <rFont val="Franklin Gothic Book"/>
        <family val="2"/>
      </rPr>
      <t>FilteredCensus</t>
    </r>
    <r>
      <rPr>
        <sz val="11"/>
        <rFont val="Franklin Gothic Book"/>
        <family val="2"/>
      </rPr>
      <t xml:space="preserve"> (CensusType censusType, String planCode, CensusEmployee[] census)</t>
    </r>
  </si>
  <si>
    <r>
      <t xml:space="preserve">SmartRules Integer </t>
    </r>
    <r>
      <rPr>
        <b/>
        <sz val="11"/>
        <rFont val="Franklin Gothic Book"/>
        <family val="2"/>
      </rPr>
      <t>AgeCalculated</t>
    </r>
    <r>
      <rPr>
        <sz val="11"/>
        <color theme="0" tint="-0.499984740745262"/>
        <rFont val="Franklin Gothic Book"/>
        <family val="2"/>
      </rPr>
      <t xml:space="preserve"> (CensusEmployee censusEmployee, Boolean useSavedAge, Boolean employeeDOB, Boolean employeeAge,  Date requestDate, Date  wLPriorCarrierEffectiveDate)</t>
    </r>
  </si>
  <si>
    <r>
      <t>= slice (allAges, 0,</t>
    </r>
    <r>
      <rPr>
        <sz val="11"/>
        <color rgb="FFFF0000"/>
        <rFont val="Franklin Gothic Book"/>
        <family val="2"/>
      </rPr>
      <t xml:space="preserve"> </t>
    </r>
    <r>
      <rPr>
        <sz val="11"/>
        <color theme="1"/>
        <rFont val="Franklin Gothic Book"/>
        <family val="2"/>
      </rPr>
      <t>7</t>
    </r>
    <r>
      <rPr>
        <sz val="11"/>
        <rFont val="Franklin Gothic Book"/>
        <family val="2"/>
      </rPr>
      <t>)</t>
    </r>
  </si>
  <si>
    <r>
      <t xml:space="preserve">SmartRules Integer </t>
    </r>
    <r>
      <rPr>
        <b/>
        <sz val="11"/>
        <rFont val="Franklin Gothic Book"/>
        <family val="2"/>
      </rPr>
      <t>OneLivesCalculated</t>
    </r>
    <r>
      <rPr>
        <sz val="11"/>
        <color theme="0" tint="-0.499984740745262"/>
        <rFont val="Franklin Gothic Book"/>
        <family val="2"/>
      </rPr>
      <t xml:space="preserve"> (CensusType censusType, TobaccoClass tobaccoClass, OneYearAgeBand currentAgeBand, Integer numberOfLives, SpreadsheetResultCensusCalculation[] censusCalcs, Double totalEmployeePctSum )</t>
    </r>
  </si>
  <si>
    <r>
      <t xml:space="preserve">SmartRules Integer </t>
    </r>
    <r>
      <rPr>
        <b/>
        <sz val="11"/>
        <rFont val="Franklin Gothic Book"/>
        <family val="2"/>
      </rPr>
      <t>FiveLivesCalculated</t>
    </r>
    <r>
      <rPr>
        <sz val="11"/>
        <color theme="0" tint="-0.499984740745262"/>
        <rFont val="Franklin Gothic Book"/>
        <family val="2"/>
      </rPr>
      <t xml:space="preserve"> (CensusType censusType, TobaccoClass tobaccoClass, FiveYearsAgeBand currentAgeBand, Integer numberOfLives, SpreadsheetResultCensusCalculation[] census, Double totalEmployeePctSum )</t>
    </r>
  </si>
  <si>
    <r>
      <t xml:space="preserve">Spreadsheet SpreadsheetResult </t>
    </r>
    <r>
      <rPr>
        <b/>
        <sz val="11"/>
        <rFont val="Franklin Gothic Book"/>
        <family val="2"/>
      </rPr>
      <t xml:space="preserve">CompositeAgeBandCalculationADD </t>
    </r>
    <r>
      <rPr>
        <sz val="11"/>
        <color theme="0" tint="-0.499984740745262"/>
        <rFont val="Franklin Gothic Book"/>
        <family val="2"/>
      </rPr>
      <t>(Integer numberOfLivesClass, Double guaranteedIssueAmount, Double ewlVolume,Integer premiumMode)</t>
    </r>
  </si>
  <si>
    <r>
      <t xml:space="preserve">SmartRules Age [] </t>
    </r>
    <r>
      <rPr>
        <b/>
        <sz val="11"/>
        <rFont val="Franklin Gothic Book"/>
        <family val="2"/>
      </rPr>
      <t>FiveAgeBandToAges</t>
    </r>
    <r>
      <rPr>
        <b/>
        <sz val="11"/>
        <color theme="0" tint="-0.499984740745262"/>
        <rFont val="Franklin Gothic Book"/>
        <family val="2"/>
      </rPr>
      <t xml:space="preserve"> (</t>
    </r>
    <r>
      <rPr>
        <sz val="11"/>
        <color theme="0" tint="-0.499984740745262"/>
        <rFont val="Franklin Gothic Book"/>
        <family val="2"/>
      </rPr>
      <t>FiveYearsAgeBand ageBand, Age[] allAges)</t>
    </r>
  </si>
  <si>
    <r>
      <t xml:space="preserve">SmartRules Age [] </t>
    </r>
    <r>
      <rPr>
        <b/>
        <sz val="11"/>
        <rFont val="Franklin Gothic Book"/>
        <family val="2"/>
      </rPr>
      <t>OneAgeBandToAges</t>
    </r>
    <r>
      <rPr>
        <sz val="11"/>
        <color theme="0" tint="-0.499984740745262"/>
        <rFont val="Franklin Gothic Book"/>
        <family val="2"/>
      </rPr>
      <t xml:space="preserve"> (OneYearAgeBand ageBand, Age[] allAges)</t>
    </r>
  </si>
  <si>
    <r>
      <t xml:space="preserve">SmartRules Integer </t>
    </r>
    <r>
      <rPr>
        <b/>
        <sz val="11"/>
        <rFont val="Franklin Gothic Book"/>
        <family val="2"/>
      </rPr>
      <t>DefaultNumberOfLivesFiveAgeBand</t>
    </r>
    <r>
      <rPr>
        <sz val="11"/>
        <color theme="0" tint="-0.499984740745262"/>
        <rFont val="Franklin Gothic Book"/>
        <family val="2"/>
      </rPr>
      <t xml:space="preserve"> (FiveYearsAgeBand ageBand, Integer numberOfLives)</t>
    </r>
  </si>
  <si>
    <r>
      <t xml:space="preserve">SmartRules Integer </t>
    </r>
    <r>
      <rPr>
        <b/>
        <sz val="11"/>
        <rFont val="Franklin Gothic Book"/>
        <family val="2"/>
      </rPr>
      <t xml:space="preserve">DefaultNumberOfLivesOneAgeBand </t>
    </r>
    <r>
      <rPr>
        <sz val="11"/>
        <color theme="0" tint="-0.499984740745262"/>
        <rFont val="Franklin Gothic Book"/>
        <family val="2"/>
      </rPr>
      <t>(OneYearAgeBand ageBand, Integer numberOfLives)</t>
    </r>
  </si>
  <si>
    <t>= getValues (TobaccoClass) [(item) select all having item !="UniTobacco"]</t>
  </si>
  <si>
    <r>
      <t>SmartRules Double</t>
    </r>
    <r>
      <rPr>
        <b/>
        <sz val="11"/>
        <rFont val="Franklin Gothic Book"/>
        <family val="2"/>
      </rPr>
      <t xml:space="preserve"> CoverageAnnualPremiumsReturned</t>
    </r>
    <r>
      <rPr>
        <sz val="11"/>
        <color theme="0" tint="-0.499984740745262"/>
        <rFont val="Franklin Gothic Book"/>
        <family val="2"/>
      </rPr>
      <t xml:space="preserve"> (TobaccoClass tobaccoClass, Double annualPremiumBaseWithBlendedAssumptionUnitobacco, Double annualPremiumBaseWithBlendedAssumptionNonTobacco, Double annualPremiumWithBlendedAssumptionTobaccoDisctinct)</t>
    </r>
  </si>
  <si>
    <r>
      <t xml:space="preserve">Spreadsheet SpreadsheetResult </t>
    </r>
    <r>
      <rPr>
        <b/>
        <sz val="11"/>
        <rFont val="Franklin Gothic Book"/>
        <family val="2"/>
      </rPr>
      <t>MonthlyADBChronicIllnessCalc</t>
    </r>
    <r>
      <rPr>
        <sz val="11"/>
        <color theme="0" tint="-0.499984740745262"/>
        <rFont val="Franklin Gothic Book"/>
        <family val="2"/>
      </rPr>
      <t>(Age age, RiderVersion riderVersion,AcceleratedPct acceleratedPct,RestorationPct restorationPct, Double totalMonthlyChronicIllnessAmount,Boolean restorationOfBenefit, TobaccoClass tobaccoClass)</t>
    </r>
  </si>
  <si>
    <r>
      <t xml:space="preserve">Spreadsheet SpreadsheetResult </t>
    </r>
    <r>
      <rPr>
        <b/>
        <sz val="11"/>
        <rFont val="Franklin Gothic Book"/>
        <family val="2"/>
      </rPr>
      <t xml:space="preserve">RateBlendedWithAssumptionCalculation </t>
    </r>
    <r>
      <rPr>
        <sz val="11"/>
        <color theme="0" tint="-0.499984740745262"/>
        <rFont val="Franklin Gothic Book"/>
        <family val="2"/>
      </rPr>
      <t>(Age age, Gender gender, TobaccoClass tobaccoClass, RateFormat rateFormat )</t>
    </r>
  </si>
  <si>
    <r>
      <t xml:space="preserve">SimpleRules TobaccoClass[] </t>
    </r>
    <r>
      <rPr>
        <b/>
        <sz val="11"/>
        <rFont val="Franklin Gothic Book"/>
        <family val="2"/>
      </rPr>
      <t>TobaccoClasses</t>
    </r>
    <r>
      <rPr>
        <sz val="11"/>
        <color theme="0" tint="-0.499984740745262"/>
        <rFont val="Franklin Gothic Book"/>
        <family val="2"/>
      </rPr>
      <t xml:space="preserve"> (RateFormat rateFormat)</t>
    </r>
  </si>
  <si>
    <r>
      <t xml:space="preserve">SimpleRules Integer </t>
    </r>
    <r>
      <rPr>
        <b/>
        <sz val="11"/>
        <rFont val="Franklin Gothic Book"/>
        <family val="2"/>
      </rPr>
      <t>AgeBandFiveYearsAge</t>
    </r>
    <r>
      <rPr>
        <sz val="11"/>
        <color theme="0" tint="-0.499984740745262"/>
        <rFont val="Franklin Gothic Book"/>
        <family val="2"/>
      </rPr>
      <t xml:space="preserve"> (FiveYearsAgeBand fiveYearAgeBand)</t>
    </r>
  </si>
  <si>
    <r>
      <t xml:space="preserve">Spreadsheet TierCard </t>
    </r>
    <r>
      <rPr>
        <b/>
        <sz val="11"/>
        <rFont val="Franklin Gothic Book"/>
        <family val="2"/>
      </rPr>
      <t>RDPremiumsByBenefitAmountCalc</t>
    </r>
    <r>
      <rPr>
        <sz val="11"/>
        <color theme="0" tint="-0.499984740745262"/>
        <rFont val="Franklin Gothic Book"/>
        <family val="2"/>
      </rPr>
      <t>(String currentAgeBand, CoveragePremiumAndRate currentCoverageCalc, Double currentBenefitAmount, AgeBandedRateCard[] ageBandedRateCards)</t>
    </r>
  </si>
  <si>
    <r>
      <t>Spreadsheet SpreadsheetResult</t>
    </r>
    <r>
      <rPr>
        <b/>
        <sz val="11"/>
        <rFont val="Franklin Gothic Book"/>
        <family val="2"/>
      </rPr>
      <t xml:space="preserve"> RDPolicyDetails</t>
    </r>
    <r>
      <rPr>
        <sz val="11"/>
        <color theme="0" tint="-0.499984740745262"/>
        <rFont val="Franklin Gothic Book"/>
        <family val="2"/>
      </rPr>
      <t xml:space="preserve"> (RateCardPremium policyRateCardPremium, Policy policy)</t>
    </r>
  </si>
  <si>
    <r>
      <t xml:space="preserve">SmartRules String </t>
    </r>
    <r>
      <rPr>
        <b/>
        <sz val="11"/>
        <color theme="1"/>
        <rFont val="Franklin Gothic Book"/>
        <family val="2"/>
      </rPr>
      <t xml:space="preserve">RDRateFormatToAgeBand </t>
    </r>
    <r>
      <rPr>
        <sz val="11"/>
        <color theme="1"/>
        <rFont val="Franklin Gothic Book"/>
        <family val="2"/>
      </rPr>
      <t>(RateFormat rateFormat)</t>
    </r>
  </si>
  <si>
    <r>
      <t xml:space="preserve">Spreadsheet CensusDistribution </t>
    </r>
    <r>
      <rPr>
        <b/>
        <sz val="11"/>
        <rFont val="Franklin Gothic Book"/>
        <family val="2"/>
      </rPr>
      <t>RDDefaultDistributionCalc</t>
    </r>
    <r>
      <rPr>
        <sz val="11"/>
        <color theme="0" tint="-0.499984740745262"/>
        <rFont val="Franklin Gothic Book"/>
        <family val="2"/>
      </rPr>
      <t xml:space="preserve"> (OneYearAgeBand oneYearAgeBand,FiveYearsAgeBand fiveYearsAgeBand, AgeBand ageBand)</t>
    </r>
  </si>
  <si>
    <r>
      <t xml:space="preserve">Spreadsheet CensusDistribution </t>
    </r>
    <r>
      <rPr>
        <b/>
        <sz val="11"/>
        <rFont val="Franklin Gothic Book"/>
        <family val="2"/>
      </rPr>
      <t xml:space="preserve">RDDefaultTobaccoDistributionCalc </t>
    </r>
    <r>
      <rPr>
        <sz val="11"/>
        <color theme="0" tint="-0.499984740745262"/>
        <rFont val="Franklin Gothic Book"/>
        <family val="2"/>
      </rPr>
      <t>(OneYearAgeBand oneYearAgeBand,FiveYearsAgeBand fiveYearsAgeBand, AgeBand ageBand, TobaccoClass tobaccoClass)</t>
    </r>
  </si>
  <si>
    <r>
      <t>Spreadsheet SpreadsheetResult</t>
    </r>
    <r>
      <rPr>
        <b/>
        <sz val="11"/>
        <color theme="0" tint="-0.499984740745262"/>
        <rFont val="Franklin Gothic Book"/>
        <family val="2"/>
      </rPr>
      <t xml:space="preserve"> </t>
    </r>
    <r>
      <rPr>
        <b/>
        <sz val="11"/>
        <rFont val="Franklin Gothic Book"/>
        <family val="2"/>
      </rPr>
      <t>RDDemographicSummary</t>
    </r>
    <r>
      <rPr>
        <sz val="11"/>
        <rFont val="Franklin Gothic Book"/>
        <family val="2"/>
      </rPr>
      <t xml:space="preserve"> </t>
    </r>
    <r>
      <rPr>
        <sz val="11"/>
        <color theme="0" tint="-0.499984740745262"/>
        <rFont val="Franklin Gothic Book"/>
        <family val="2"/>
      </rPr>
      <t>(SpreadsheetResultCensusCalculation[] censusCalcs)</t>
    </r>
  </si>
  <si>
    <r>
      <t xml:space="preserve">Spreadsheet SpreadsheetResult </t>
    </r>
    <r>
      <rPr>
        <b/>
        <sz val="11"/>
        <rFont val="Franklin Gothic Book"/>
        <family val="2"/>
      </rPr>
      <t>RDLivesByAgeBands</t>
    </r>
    <r>
      <rPr>
        <sz val="11"/>
        <rFont val="Franklin Gothic Book"/>
        <family val="2"/>
      </rPr>
      <t xml:space="preserve"> </t>
    </r>
    <r>
      <rPr>
        <sz val="11"/>
        <color theme="0" tint="-0.499984740745262"/>
        <rFont val="Franklin Gothic Book"/>
        <family val="2"/>
      </rPr>
      <t>(SpreadsheetResultCensusCalculation[] censusCalcs, RateFormat rateFormat)</t>
    </r>
  </si>
  <si>
    <r>
      <t xml:space="preserve">Spreadsheet SpreadsheetResult </t>
    </r>
    <r>
      <rPr>
        <b/>
        <sz val="11"/>
        <rFont val="Franklin Gothic Book"/>
        <family val="2"/>
      </rPr>
      <t>RDLivesPerAgeBandCalc1Y</t>
    </r>
    <r>
      <rPr>
        <sz val="11"/>
        <color theme="0" tint="-0.499984740745262"/>
        <rFont val="Franklin Gothic Book"/>
        <family val="2"/>
      </rPr>
      <t xml:space="preserve"> (SpreadsheetResultCensusCalculation[] censusCalcs, OneYearAgeBand currentAgeBand)</t>
    </r>
  </si>
  <si>
    <r>
      <t xml:space="preserve">Spreadsheet SpreadsheetResult </t>
    </r>
    <r>
      <rPr>
        <b/>
        <sz val="11"/>
        <rFont val="Franklin Gothic Book"/>
        <family val="2"/>
      </rPr>
      <t>RDLivesPerAgeBandCalc5Y</t>
    </r>
    <r>
      <rPr>
        <sz val="11"/>
        <rFont val="Franklin Gothic Book"/>
        <family val="2"/>
      </rPr>
      <t xml:space="preserve"> </t>
    </r>
    <r>
      <rPr>
        <sz val="11"/>
        <color theme="0" tint="-0.499984740745262"/>
        <rFont val="Franklin Gothic Book"/>
        <family val="2"/>
      </rPr>
      <t>(SpreadsheetResultCensusCalculation[] censusCalcs, FiveYearsAgeBand currentAgeBand)</t>
    </r>
  </si>
  <si>
    <r>
      <t xml:space="preserve">Spreadsheet SpreadsheetResult </t>
    </r>
    <r>
      <rPr>
        <b/>
        <sz val="11"/>
        <rFont val="Franklin Gothic Book"/>
        <family val="2"/>
      </rPr>
      <t xml:space="preserve">RDAgeBandDistribution </t>
    </r>
    <r>
      <rPr>
        <sz val="11"/>
        <color theme="0" tint="-0.499984740745262"/>
        <rFont val="Franklin Gothic Book"/>
        <family val="2"/>
      </rPr>
      <t>(RateFormat rateFormat,SpreadsheetResultRDLivesPerAgeBandCalc1Y calcs1Y,SpreadsheetResultRDLivesPerAgeBandCalc5Y calcs5Y)</t>
    </r>
  </si>
  <si>
    <r>
      <t xml:space="preserve">SmartRules String </t>
    </r>
    <r>
      <rPr>
        <b/>
        <sz val="11"/>
        <rFont val="Franklin Gothic Book"/>
        <family val="2"/>
      </rPr>
      <t>LivesTobaccoClassBusiness</t>
    </r>
    <r>
      <rPr>
        <sz val="11"/>
        <rFont val="Franklin Gothic Book"/>
        <family val="2"/>
      </rPr>
      <t xml:space="preserve"> </t>
    </r>
    <r>
      <rPr>
        <sz val="11"/>
        <color theme="0" tint="-0.499984740745262"/>
        <rFont val="Franklin Gothic Book"/>
        <family val="2"/>
      </rPr>
      <t>(TobaccoClass tobaccoClass)</t>
    </r>
  </si>
  <si>
    <r>
      <t xml:space="preserve">Spreadsheet Double[] </t>
    </r>
    <r>
      <rPr>
        <b/>
        <sz val="11"/>
        <rFont val="Franklin Gothic Book"/>
        <family val="2"/>
      </rPr>
      <t>RDBenefitAmountsRange</t>
    </r>
    <r>
      <rPr>
        <sz val="11"/>
        <color theme="0" tint="-0.499984740745262"/>
        <rFont val="Franklin Gothic Book"/>
        <family val="2"/>
      </rPr>
      <t>(Double min, Double max, Integer increment)</t>
    </r>
  </si>
  <si>
    <r>
      <t xml:space="preserve">SmartRules AgeBandedRateCard[] </t>
    </r>
    <r>
      <rPr>
        <b/>
        <sz val="11"/>
        <rFont val="Franklin Gothic Book"/>
        <family val="2"/>
      </rPr>
      <t>RDReadAgeBandPremiums</t>
    </r>
    <r>
      <rPr>
        <sz val="11"/>
        <color theme="0" tint="-0.499984740745262"/>
        <rFont val="Franklin Gothic Book"/>
        <family val="2"/>
      </rPr>
      <t>(CoverageCode coverageCode,SpreadsheetResultPlanCalculation planCalc)</t>
    </r>
  </si>
  <si>
    <r>
      <t xml:space="preserve">Spreadsheet CensusDistribution </t>
    </r>
    <r>
      <rPr>
        <b/>
        <sz val="11"/>
        <rFont val="Franklin Gothic Book"/>
        <family val="2"/>
      </rPr>
      <t xml:space="preserve">RDCensusDistributionCalc </t>
    </r>
    <r>
      <rPr>
        <sz val="11"/>
        <color theme="0" tint="-0.499984740745262"/>
        <rFont val="Franklin Gothic Book"/>
        <family val="2"/>
      </rPr>
      <t>(SpreadsheetResultCensusCalculation[] censusCalcs, OneYearAgeBand ageBand1Y, FiveYearsAgeBand ageBand5Y,AgeBand ageBand, Integer totalCensus)</t>
    </r>
  </si>
  <si>
    <r>
      <t xml:space="preserve">SimpleRules String </t>
    </r>
    <r>
      <rPr>
        <b/>
        <sz val="11"/>
        <rFont val="Franklin Gothic Book"/>
        <family val="2"/>
      </rPr>
      <t>RDCoverageTierSplit</t>
    </r>
    <r>
      <rPr>
        <sz val="11"/>
        <color theme="0" tint="-0.499984740745262"/>
        <rFont val="Franklin Gothic Book"/>
        <family val="2"/>
      </rPr>
      <t>(CoverageCode coverageCode)</t>
    </r>
  </si>
  <si>
    <r>
      <t xml:space="preserve">Spreadsheet SpreadsheetResult </t>
    </r>
    <r>
      <rPr>
        <b/>
        <sz val="11"/>
        <rFont val="Franklin Gothic Book"/>
        <family val="2"/>
      </rPr>
      <t>RDTierAttributes</t>
    </r>
    <r>
      <rPr>
        <sz val="11"/>
        <color theme="0" tint="-0.499984740745262"/>
        <rFont val="Franklin Gothic Book"/>
        <family val="2"/>
      </rPr>
      <t>(TierCard[] tierCards, String currentTier)</t>
    </r>
  </si>
  <si>
    <r>
      <t xml:space="preserve">Spreadsheet SpreadsheetResult </t>
    </r>
    <r>
      <rPr>
        <b/>
        <sz val="11"/>
        <rFont val="Franklin Gothic Book"/>
        <family val="2"/>
      </rPr>
      <t>RDCoveragesListed</t>
    </r>
    <r>
      <rPr>
        <sz val="11"/>
        <color theme="0" tint="-0.499984740745262"/>
        <rFont val="Franklin Gothic Book"/>
        <family val="2"/>
      </rPr>
      <t>(CoverageCode coverage)</t>
    </r>
  </si>
  <si>
    <r>
      <t xml:space="preserve">Spreadsheet SpreadsheetResult </t>
    </r>
    <r>
      <rPr>
        <b/>
        <sz val="11"/>
        <rFont val="Franklin Gothic Book"/>
        <family val="2"/>
      </rPr>
      <t>RDDistributionListed</t>
    </r>
    <r>
      <rPr>
        <sz val="11"/>
        <color theme="0" tint="-0.499984740745262"/>
        <rFont val="Franklin Gothic Book"/>
        <family val="2"/>
      </rPr>
      <t>(CensusDistribution censusDistribution,String header)</t>
    </r>
  </si>
  <si>
    <r>
      <t xml:space="preserve">Spreadsheet SpreadsheetResult </t>
    </r>
    <r>
      <rPr>
        <b/>
        <sz val="11"/>
        <rFont val="Franklin Gothic Book"/>
        <family val="2"/>
      </rPr>
      <t>RDLivesByAgeBandListed</t>
    </r>
    <r>
      <rPr>
        <sz val="11"/>
        <color theme="0" tint="-0.499984740745262"/>
        <rFont val="Franklin Gothic Book"/>
        <family val="2"/>
      </rPr>
      <t>(SpreadsheetResultRDAgeBandDistribution abDistribution)</t>
    </r>
  </si>
  <si>
    <r>
      <t xml:space="preserve">Spreadsheet SpreadsheetResult </t>
    </r>
    <r>
      <rPr>
        <b/>
        <sz val="11"/>
        <rFont val="Franklin Gothic Book"/>
        <family val="2"/>
      </rPr>
      <t>RDListedTierCards</t>
    </r>
    <r>
      <rPr>
        <sz val="11"/>
        <color theme="0" tint="-0.499984740745262"/>
        <rFont val="Franklin Gothic Book"/>
        <family val="2"/>
      </rPr>
      <t>(TierCard tierCard)</t>
    </r>
  </si>
  <si>
    <r>
      <t xml:space="preserve">Spreadsheet  SpreadsheetResult </t>
    </r>
    <r>
      <rPr>
        <b/>
        <sz val="11"/>
        <rFont val="Franklin Gothic Book"/>
        <family val="2"/>
      </rPr>
      <t xml:space="preserve">RDListedAgeDistributions </t>
    </r>
    <r>
      <rPr>
        <sz val="11"/>
        <color theme="0" tint="-0.499984740745262"/>
        <rFont val="Franklin Gothic Book"/>
        <family val="2"/>
      </rPr>
      <t>(SpreadsheetResultRDCensusDistribution distributionCalc)</t>
    </r>
  </si>
  <si>
    <t>= RDReadAgeBandPremiums($CoverageCode,planCalc)[select all having tobaccoClass == "UniTobacco" or isEmpty(tobaccoClass)]</t>
  </si>
  <si>
    <t>RatesByBenefitAmountTier1T*</t>
  </si>
  <si>
    <t>RatesByBenefitAmountTier2T*</t>
  </si>
  <si>
    <t>RatesByBenefitAmountTier1NT*</t>
  </si>
  <si>
    <t>RatesByBenefitAmountTier2NT*</t>
  </si>
  <si>
    <t>AgeBandedRateCardsT</t>
  </si>
  <si>
    <t>AgeBandedRateCardsNT</t>
  </si>
  <si>
    <t>Spreadsheet SpreadsheetResult RDPremiumsByBenefitAmount(Coverage coverage, SpreadsheetResultPlanCalculation planCalc)</t>
  </si>
  <si>
    <t>PremiumsByBenefitAmountT</t>
  </si>
  <si>
    <t>PremiumsByBenefitAmountNT</t>
  </si>
  <si>
    <t>= flatten(RDPremiumsByBenefitAmountCalc($AgeBand,$CoverageCalc,$BenefitAmountCalc,$AgeBandedRateCardsT))</t>
  </si>
  <si>
    <t>= flatten(RDPremiumsByBenefitAmountCalc($AgeBand,$CoverageCalc,$BenefitAmountCalc,$AgeBandedRateCardsNT))</t>
  </si>
  <si>
    <t>PremiumRatesByBenefitAmountsT</t>
  </si>
  <si>
    <t>RatesByBenefitAmountPrecalcT</t>
  </si>
  <si>
    <t>= $RatesByBenefitAmountPrecalcT[select all having tierName == "Tier1"]</t>
  </si>
  <si>
    <t>= $RatesByBenefitAmountPrecalcT[select all having tierName == "Tier2"]</t>
  </si>
  <si>
    <t>PremiumRatesByBenefitAmountsNT</t>
  </si>
  <si>
    <t>RatesByBenefitAmountPrecalcNT</t>
  </si>
  <si>
    <t>FilterTier1CardsT</t>
  </si>
  <si>
    <t>FilterTier2CardsT</t>
  </si>
  <si>
    <t>FilterTier1CardsNT</t>
  </si>
  <si>
    <t>FilterTier2CardsNT</t>
  </si>
  <si>
    <t>= $RatesByBenefitAmountPrecalcNT[select all having tierName == "Tier1"]</t>
  </si>
  <si>
    <t>= $RatesByBenefitAmountPrecalcNT[select all having tierName == "Tier2"]</t>
  </si>
  <si>
    <t>TobaccoClassSWL</t>
  </si>
  <si>
    <t>TobaccoClassCalcSWL</t>
  </si>
  <si>
    <t>= TobaccoClasses((policy.plans[0].coverages[select first having coverageCode =="SpouseWholeLife"]).rateFormat)</t>
  </si>
  <si>
    <t>= $TobaccoClass == "UniTobacco"</t>
  </si>
  <si>
    <t>= $TobaccoClassSWL == "UniTobacco"</t>
  </si>
  <si>
    <t>Tier1UniTobacco*</t>
  </si>
  <si>
    <t>Tier1TobaccoNonTobacco*</t>
  </si>
  <si>
    <t>Tier2UniTobacco*</t>
  </si>
  <si>
    <t>Tier2TobaccoNonTobacco*</t>
  </si>
  <si>
    <t>= $Tier1UniTobacco == true? false : true</t>
  </si>
  <si>
    <t>= $Tier2UniTobacco == true? false : true</t>
  </si>
  <si>
    <t>Values</t>
  </si>
  <si>
    <t>FiveYearAgeBands*</t>
  </si>
  <si>
    <t>OneYearAgeBands*</t>
  </si>
  <si>
    <t>CompositeAgeBand*</t>
  </si>
  <si>
    <r>
      <t xml:space="preserve">Spreadsheet SpreadsheetResult </t>
    </r>
    <r>
      <rPr>
        <b/>
        <sz val="11"/>
        <rFont val="Franklin Gothic Book"/>
        <family val="2"/>
      </rPr>
      <t>AgeBandsList</t>
    </r>
    <r>
      <rPr>
        <sz val="11"/>
        <color theme="0" tint="-0.499984740745262"/>
        <rFont val="Franklin Gothic Book"/>
        <family val="2"/>
      </rPr>
      <t>()</t>
    </r>
  </si>
  <si>
    <t>= benefitName</t>
  </si>
  <si>
    <t>R2RiderRateCard</t>
  </si>
  <si>
    <t>R4RiderRateCard</t>
  </si>
  <si>
    <t>R12RiderRateCard</t>
  </si>
  <si>
    <t>R13RiderRateCard</t>
  </si>
  <si>
    <t>R14EOB200RiderRateCard</t>
  </si>
  <si>
    <t>R14EOB300RiderRateCard</t>
  </si>
  <si>
    <t>EOBRiderRateCardSelection</t>
  </si>
  <si>
    <t>Version2018RiderRateCards</t>
  </si>
  <si>
    <t>= ($RiderVersion == "MonthlyChronicIll2018" and restorationOfBenefit == true)? $R4RiderRateCard : $R2RiderRateCard</t>
  </si>
  <si>
    <t>Version2022RiderRateCards</t>
  </si>
  <si>
    <t>=  $RiderVersion == "MonthlyChronicIll2018"? $Version2018RiderRateCards: $Version2022RiderRateCards</t>
  </si>
  <si>
    <t>= ($RiderVersion == "MonthlyChronicIll2022" and restorationOfBenefit == true)? flatten($R13RiderRateCard, $EOBRiderRateCardSelection) : $EOBRiderRateCardSelection</t>
  </si>
  <si>
    <t>= totalMonthlyChronicIllnessAmount == 100%? $R12RiderRateCard : totalMonthlyChronicIllnessAmount == 200%? ($R14EOB200RiderRateCard) : totalMonthlyChronicIllnessAmount == 300%? ($R14EOB300RiderRateCard) : null</t>
  </si>
  <si>
    <t>R6RiderRateCard</t>
  </si>
  <si>
    <t>R1RiderRateCard</t>
  </si>
  <si>
    <t>R11RiderRateCard</t>
  </si>
  <si>
    <t>BenefitRiderRateCardsReturned</t>
  </si>
  <si>
    <t>RiderRateCards</t>
  </si>
  <si>
    <t>RiderRateCard</t>
  </si>
  <si>
    <t>= isEmpty (employeeCoverages.classNumber)</t>
  </si>
  <si>
    <t>IsSavedAgeQuoting</t>
  </si>
  <si>
    <t>= policy.useSavedAge</t>
  </si>
  <si>
    <t>= anyTrue ( SavedAgeCheck ( census, policy ))</t>
  </si>
  <si>
    <t>SavedAgeCheck</t>
  </si>
  <si>
    <t>= $IsSavedAgeQuoting ? allTrue ( $DOBCheck:$PriorCarrierEffectiveDateCheck ) : false</t>
  </si>
  <si>
    <r>
      <t xml:space="preserve">Spreadsheet Boolean </t>
    </r>
    <r>
      <rPr>
        <b/>
        <sz val="10"/>
        <color theme="1"/>
        <rFont val="Franklin Gothic Book"/>
        <family val="2"/>
      </rPr>
      <t xml:space="preserve">SavedAgeCheck </t>
    </r>
    <r>
      <rPr>
        <sz val="10"/>
        <color theme="1"/>
        <rFont val="Franklin Gothic Book"/>
        <family val="2"/>
      </rPr>
      <t>( CensusEmployee employeeRecord, Policy policy )</t>
    </r>
  </si>
  <si>
    <t>Spreadsheet Boolean ActualAgeDOBCheck ( CensusEmployee employeeRecord, Policy policy )</t>
  </si>
  <si>
    <t>= anyTrue ( ActualAgeDOBCheck ( census,policy ))</t>
  </si>
  <si>
    <t>= isEmpty (wLPriorCarrierEffectiveDate)</t>
  </si>
  <si>
    <t>RiderRateCardCalc</t>
  </si>
  <si>
    <t>EWLAnnualPremiumPrecalc</t>
  </si>
  <si>
    <t>= CoverageAnnualPremiumsReturned (tobaccoClass, $AnnualPremiumBaseWithBlendedAssumptionUnitobacco, $AnnualPremiumBaseWithBlendedAssumptionNonTobacco, $AnnualPremiumWithBlendedAssumptionTobaccoDisctinct)</t>
  </si>
  <si>
    <t>BenefitPremium</t>
  </si>
  <si>
    <t>= $EWLAnnualPremiumPrecalc + $BenefitPremium</t>
  </si>
  <si>
    <t>= $EWLAnnualPremiumPrecalc + $BenefitPremium + $WaiverOfPremiumAnnualPremiumRate</t>
  </si>
  <si>
    <t>BenefitRiderRateCardsCalc</t>
  </si>
  <si>
    <t>CoverageRiderRateCardsReturned</t>
  </si>
  <si>
    <t>FinalRiderCardsForCoverageCode</t>
  </si>
  <si>
    <r>
      <t xml:space="preserve">SmartRules Collect RiderRateCard[][] </t>
    </r>
    <r>
      <rPr>
        <b/>
        <sz val="11"/>
        <rFont val="Franklin Gothic Book"/>
        <family val="2"/>
      </rPr>
      <t>BenefitRiderRateCardsReturned</t>
    </r>
    <r>
      <rPr>
        <sz val="11"/>
        <color theme="0" tint="-0.499984740745262"/>
        <rFont val="Franklin Gothic Book"/>
        <family val="2"/>
      </rPr>
      <t xml:space="preserve"> (BenefitName benefitName, SpreadsheetResultBenefitRiderRateCardsCalc riderCardsCalc)</t>
    </r>
  </si>
  <si>
    <t>= riderCardsCalc.$MonthlyADBChronicIllnessRiderCards</t>
  </si>
  <si>
    <t>= riderCardsCalc.$R6RiderRateCard</t>
  </si>
  <si>
    <t>= riderCardsCalc.$R1RiderRateCard</t>
  </si>
  <si>
    <t>= riderCardsCalc.$R11RiderRateCard</t>
  </si>
  <si>
    <r>
      <t>Spreadsheet SpreadsheetResult</t>
    </r>
    <r>
      <rPr>
        <b/>
        <sz val="11"/>
        <rFont val="Franklin Gothic Book"/>
        <family val="2"/>
      </rPr>
      <t xml:space="preserve"> BenefitRiderRateCardsCalc</t>
    </r>
    <r>
      <rPr>
        <sz val="11"/>
        <color theme="0" tint="-0.499984740745262"/>
        <rFont val="Franklin Gothic Book"/>
        <family val="2"/>
      </rPr>
      <t xml:space="preserve"> (SpreadsheetResultMonthlyADBChronicIllnessCalc adbCalc, Age age)</t>
    </r>
  </si>
  <si>
    <t>MonthlyADBChronicIllnessRiderCards</t>
  </si>
  <si>
    <t>= flatten (adbCalc.$RiderRateCards)</t>
  </si>
  <si>
    <t>Rider Cards Returned</t>
  </si>
  <si>
    <t>= BenefitPremiumAmount (age, benefits, tobaccoClass)</t>
  </si>
  <si>
    <t>= sum($BenefitPremiumAmount.$BenefitPremiumAmount)</t>
  </si>
  <si>
    <t>Spreadsheet SpreadsheetResult OneYearAgeBandCalculation (OneYearAgeBand currentAgeBand, TobaccoClass tobaccoClass, CensusType censusType, Integer numberOfLives, SpreadsheetResultCensusCalculation[] census, Double targetParticipationPct, Double guaranteedIssueAmount, Integer overallLength, Boolean noCensus, CoverageCode coverageCode, RateFormat rateFormat, Coverage coverage, Integer premiumMode)</t>
  </si>
  <si>
    <t>= MonthlyADBChronicIllnessCalc(age,riderVersion,$DefineAcceleratedPct,deathBenefitRestorationPct, totalMonthlyChronicIllnessAmount,$DefineRestorationOfBenefit,tobaccoClass)</t>
  </si>
  <si>
    <t>= flatten(BenefitRiderRateCardsCalc ($BenefitPremiumAmount.$MonthlyADBChronicIllness, age))</t>
  </si>
  <si>
    <t>= flatten(BenefitRiderRateCardsReturned (benefits.benefitName, $BenefitRiderRateCardsCalc))</t>
  </si>
  <si>
    <t>Spreadsheet SpreadsheetResult FiveYearsAgeBandCalculation (FiveYearsAgeBand currentAgeBand, TobaccoClass tobaccoClass, CensusType censusType, Integer numberOfLives, SpreadsheetResultCensusCalculation[] census, Double targetParticipationPct , Double guaranteedIssueAmount, Integer overallLength, Boolean noCensus, CoverageCode coverageCode, RateFormat rateFormat, Coverage coverage, Integer premiumMode)</t>
  </si>
  <si>
    <t>= new RateCard(null, null,$Rate)</t>
  </si>
  <si>
    <t>RateCardRate</t>
  </si>
  <si>
    <t>= riderRateCard.rateCard.rate</t>
  </si>
  <si>
    <t>= $RiderRateCardCalc[(p) transform unique to p]</t>
  </si>
  <si>
    <t>= new AgeBandedRateCard("Composite",null,null,$RateCard,$RateCardPremium,$RiderRateCard)</t>
  </si>
  <si>
    <t>= flatten($RiderRateCardCalc,$RiderRateCardCalc)[(p) transform unique to p]</t>
  </si>
  <si>
    <t>= flatten ($RiderRateCardCalc,$RiderRateCardCalc)[(p) transform unique to p]</t>
  </si>
  <si>
    <t>= CoverageAnnualPremiumsReturnedX ($EmployeeWholeLifeAnnualPremiumRate, $SpouseWholeLifeAnnualPremiumRate, $SpouseTermLifeAnnualPremiumRate, $ChildTermLifeAnnualPremiumRate, $AccidentalDeathAndDismembermentAnnualPremiumRate, $WaiverOfPremiumAnnualPremiumRate, $CoverageCode)</t>
  </si>
  <si>
    <t>= earnings/EarningsRate(earningsMode)</t>
  </si>
  <si>
    <t>= flatten(CoverageRiderRateCardsReturned (coverageCode, $EWLAnnualPremiumPrecalc,$EWLAnnualPremiumPrecalc, $SpouseTermLifeAnnualPremiumRate, $ChildTermLifeAnnualPremiumRate,$AccidentalDeathAndDismembermentAnnualPremiumRate, $WaiverOfPremiumAnnualPremiumRate,$BenefitRiderRateCardsReturned))</t>
  </si>
  <si>
    <t>= new RiderRateCard("R6","ADBDisability","Rider",null,new RateCard(null,null,$ADBDisability))</t>
  </si>
  <si>
    <t>= new RiderRateCard("R8","ChildTermlife","Rider",null,new RateCard(null,null,$RateCard.rate))</t>
  </si>
  <si>
    <t>= new RiderRateCard(riderRateCard.riderCode,riderRateCard.riderDescription,riderRateCard.riderType,null,$RateCard)</t>
  </si>
  <si>
    <t>= new RiderRateCard("R10","AccidentalDeathAndDismemberment","Rider",null,new RateCard(null,null,$RateCard.rate))</t>
  </si>
  <si>
    <t>= new RiderRateCard("R7","SpouseTermLife","Rider",null,new RateCard(null,null,stlRate))</t>
  </si>
  <si>
    <t>= new RiderRateCard("R9","WaiverOfPremium","Rider",null,new RateCard(null,null,wopRate))</t>
  </si>
  <si>
    <t>= flatten (new RiderRateCard("EWL","EmployeeWholeLifeBaseRate","Base",null,new RateCard(null,null,ewlBaseRate)), benefitRiderCards)</t>
  </si>
  <si>
    <t>= flatten(new RiderRateCard("SWL","SpouseWholeLifeBaseRate","Base",null,new RateCard(null,null,swlBaseRate)), new RiderRateCard("R9","WaiverOfPremium","Rider",null,new RateCard(null,null,wopRate)), benefitRiderCards)</t>
  </si>
  <si>
    <t>= new RiderRateCard("R8","ChildTermLife","Rider",null,new RateCard(null,null,ctlRate))</t>
  </si>
  <si>
    <t>= new RiderRateCard("R10","AccidentalDeathAndDismemberment","Rider",null,new RateCard(null,null,addRate))</t>
  </si>
  <si>
    <t>= RiderRateCardRecalc ($CoverageRiderRateCardsReturned, premiumMode)</t>
  </si>
  <si>
    <t>60-64</t>
  </si>
  <si>
    <t>60 - 64</t>
  </si>
  <si>
    <t>65-70</t>
  </si>
  <si>
    <t>65 - 70</t>
  </si>
  <si>
    <t>65 +</t>
  </si>
  <si>
    <t>=  (Integer) round (FiveYearsAgeBandDistribution ("60 - 64") * numberOfLives, 0)</t>
  </si>
  <si>
    <t>=  (Integer) round (FiveYearsAgeBandDistribution ("65 - 70") * numberOfLives, 0)</t>
  </si>
  <si>
    <t>= noCensus ? null : $CalculateEmployeeInfo [select all having $Age &lt; 51]</t>
  </si>
  <si>
    <t>= FiveYearsAgeBandCalculation ($FiveYearsAgeBands, $AllTobaccoClasses, censusType, $LivesCount, census, targetParticipationPct, guaranteedIssueAmount, overallLength, noCensus, "WaiverOfPremium", rateFormat, coverage, premiumMode)</t>
  </si>
  <si>
    <t>= length ($ClassCensus[select all having employeeCoverages[0].eligible == true] )</t>
  </si>
  <si>
    <t>= (Integer)round(fundingStructure.numberOfLives * fundingStructure.targetParticipationPct * $ThisClassPct)</t>
  </si>
  <si>
    <t>= noCensus ? classNumberOfParticipants : (censusType == "Eligible"? $EligibleLives : $EnrolledLives )</t>
  </si>
  <si>
    <t>= new RiderRateCard("R1","ADBTerminalIllness","Rider",null,new RateCard(null,null,$ADBTerminalIllness))</t>
  </si>
  <si>
    <t>= new RiderRateCard("R11","LumpSumADBChronichIllness","Rider",null,new RateCard(null,null,$LumpSumADBChronicIllness))</t>
  </si>
  <si>
    <t>= new RiderRateCard("R2","MonthlyADBChronicIllness2018","Rider",null,new RateCard(null,null,$Rider2Calculation))</t>
  </si>
  <si>
    <t>= new RiderRateCard("R4","MonthlyADBChronicIllness2018Restoration","Rider",null,new RateCard(null,null,$Rider4Calculation))</t>
  </si>
  <si>
    <t>= new RiderRateCard("R12","MonthlyADBChronicIllness2022Amount100","Rider",null,new RateCard(null,null,$Rider12Calculation))</t>
  </si>
  <si>
    <t>= new RiderRateCard("R13","MonthlyADBChronicIllness2022Restoration","Rider",null,new RateCard(null,null,$Rider13Calculation))</t>
  </si>
  <si>
    <t>= new RiderRateCard("R14-EOB200","MonthlyADBChronicIllness2022Amount200","Rider",null,new RateCard(null,null,$Rider14EOB200Calculation))</t>
  </si>
  <si>
    <t>= new RiderRateCard("R14-EOB300","MonthlyADBChronicIllness2022Amount300","Rider",null,new RateCard(null,null,$Rider14EOB300Calculation))</t>
  </si>
  <si>
    <t>= memberAge</t>
  </si>
  <si>
    <t>Rules String[] Validation (Policy policy)</t>
  </si>
  <si>
    <t>= anyTrue (GenderCheck ( census ))</t>
  </si>
  <si>
    <t>= isNotEmpty ($Validation) ? error(concatenate($Validation)) : "Policy is valid"</t>
  </si>
  <si>
    <t>LivesTotal</t>
  </si>
  <si>
    <t>= sum($Classes.$RateCard.numberOfLives) == $Lives? $Lives : sum($Classes.$RateCard.numberOfLives)</t>
  </si>
  <si>
    <t>= new RateCard($LivesTotal,$TotalVolume,sum($Classes.$RateCard.rate))</t>
  </si>
  <si>
    <t>= $IsSavedAgeQuoting ? false : allTrue ( $DOBCheck:$AgeCheck )</t>
  </si>
  <si>
    <t>= round(MonthlyADBChronicIllnessAnnualPremium(age),2)</t>
  </si>
  <si>
    <t>= round(MonthlyADBChronicIllnessRestorationAnnualPremium (age),2)</t>
  </si>
  <si>
    <t>= round(ADB100AnnualPremium ( age, acceleratedPct,tobaccoClass),2)</t>
  </si>
  <si>
    <t>= round(R13AnnualPremium ( age, tobaccoClass,acceleratedPct, restorationPct),2)</t>
  </si>
  <si>
    <t>= round(EOB200AnnualPremium(age, acceleratedPct,tobaccoClass),2)</t>
  </si>
  <si>
    <t>= round(EOB300AnnualPremium(age, acceleratedPct,tobaccoClass),2)</t>
  </si>
  <si>
    <t>= round(ADBDisabilityAnnualPremium(age),2)</t>
  </si>
  <si>
    <t>= round(ADBTerminalIlnessMonthlyRate(age),2)</t>
  </si>
  <si>
    <t>=  round(LumpSumMonthlyRate(age),2)</t>
  </si>
  <si>
    <t>= round(ADBDisabilityAnnualPremium (age),2)</t>
  </si>
  <si>
    <t>= round(LumpSumMonthlyRate(age),2)</t>
  </si>
  <si>
    <t>= isEmpty(census)? false : true</t>
  </si>
  <si>
    <t>CensusExist*</t>
  </si>
  <si>
    <t>= flatten($DefaultDistribution1Y, $DefaultDistribution5Y, $CensusDistribution1Y, $CensusDistribution5Y, $DefaultNonTobaccoDistribution1Y, $CensusNonTobaccoDistribution1Y, $DefaultNonTobaccoDistribution5Y, $CensusNonTobaccoDistribution5Y,$DefaultTobaccoDistribution1Y, $CensusTobaccoDistribution1Y, $DefaultTobaccoDistribution5Y, $CensusTobaccoDistribution5Y)</t>
  </si>
  <si>
    <t>RateEffectiveDate</t>
  </si>
  <si>
    <t>= rateEffectiveDate</t>
  </si>
  <si>
    <t>UseSavedAge</t>
  </si>
  <si>
    <t>PremiumMode</t>
  </si>
  <si>
    <t>= plans[0].coverages</t>
  </si>
  <si>
    <t>CoveragesForRateFormat</t>
  </si>
  <si>
    <t>= flatten(ageBandedRateCards[select all having ageBand == $AgeBand].riderRateCards.rateCard.rate)</t>
  </si>
  <si>
    <t>RatesPerBenefitCalc</t>
  </si>
  <si>
    <t>MonthlyPremiumAmount</t>
  </si>
  <si>
    <t>= round(rate*benefitAmount/1000,2)</t>
  </si>
  <si>
    <t>= RDRatePerBenefitRecalc($MonthlyPremiumCalc, $BenefitAmount)</t>
  </si>
  <si>
    <t>= round(sum($RatesPerBenefitCalc),2)</t>
  </si>
  <si>
    <t>CoverageCalcs*</t>
  </si>
  <si>
    <t>CoveragePreCalcs</t>
  </si>
  <si>
    <t>PlanCalcs*</t>
  </si>
  <si>
    <t>= $CoveragePreCalcs[select all having isNotEmpty(coverageCode)]</t>
  </si>
  <si>
    <t>= new PlanPremiumAndRate($PlanName,$PlanCode,$CoverageCalcs,$RateCardPremium)</t>
  </si>
  <si>
    <t>= new Class($ClassNumber,$ClassName,$AgeBandedRateCards, $RateCard, null)</t>
  </si>
  <si>
    <t>= flatten(planCalc.$CTLCoverageCalculation.$Classes[0].$AgeBandedRateCards)</t>
  </si>
  <si>
    <t>= flatten(planCalc.$ADDCoverageCalculation.$Classes[0].$AgeBandedRateCards)</t>
  </si>
  <si>
    <t>= (rateFormat == "1YearUniTobacco" ||rateFormat == "1YearTobaccoNonTobacco")? $OneYearAgeBandedCalculation.$RateCardPremium : (rateFormat == "5YearUniTobacco" ||rateFormat == "5YearTobaccoNonTobacco")? $FiveYearsAgeBandedCalculation.$RateCardPremium: null</t>
  </si>
  <si>
    <t>RiderRateCards*</t>
  </si>
  <si>
    <t>= new AgeBandedRateCard($AgeBand, null, $TobaccoClass, $RateCard,null,$RiderRateCards)</t>
  </si>
  <si>
    <t>= new AgeBandedRateCard($AgeBand, null, $TobaccoClass, $RateCardFull,$RateCardPremium,$RiderRateCards)</t>
  </si>
  <si>
    <t>= (rateFormat == "1YearUniTobacco" ||rateFormat == "1YearTobaccoNonTobacco")? $OneYearAgeBandedCalculation.$RateCardPremium :  (rateFormat == "5YearUniTobacco" ||rateFormat == "5YearTobaccoNonTobacco")? $FiveYearsAgeBandedCalculation.$RateCardPremium : null</t>
  </si>
  <si>
    <t>= new AgeBandedRateCard($AgeBand,null,$TobaccoClass,$RateCard,null,$RiderRateCards)</t>
  </si>
  <si>
    <t>= new AgeBandedRateCard($AgeBand,null,$TobaccoClass,$RateCardFull,$RateCardPremium,$RiderRateCards)</t>
  </si>
  <si>
    <t>Spreadsheet SpreadsheetResult RiderRateCardRecalc (RiderRateCard riderRateCard, Integer premiumMode)</t>
  </si>
  <si>
    <t>RiderCode*</t>
  </si>
  <si>
    <t>= riderRateCard.riderCode</t>
  </si>
  <si>
    <t>RiderDescription*</t>
  </si>
  <si>
    <t>= riderRateCard.riderDescription</t>
  </si>
  <si>
    <t>RiderType*</t>
  </si>
  <si>
    <t>= riderRateCard.riderType</t>
  </si>
  <si>
    <t>= new AgeBandedRateCard("Composite",null,null,$RateCard,null,$RiderRateCard)</t>
  </si>
  <si>
    <t>= $PlanCalcs.$PlanPremiumAndRate</t>
  </si>
  <si>
    <t>= RDPremiumsByBenefitAmount(policy.plans[0].coverages,$SelectPlanCalc)</t>
  </si>
  <si>
    <t>RiderRateCardPreCalc</t>
  </si>
  <si>
    <t>= $RiderRateCardPreCalc.$FinalRiderCardsForCoverageCode</t>
  </si>
  <si>
    <t>= annualPremiumsForCoverage.$FinalPremiumPerCoverage</t>
  </si>
  <si>
    <t>= AnnualPremiumForCoverageCode ($AgeForRateCalc, coverage, rateFormat, tobaccoClass, premiumMode)</t>
  </si>
  <si>
    <t>= AnnualPremiumForCoverageCode ($AgeBandToAge, coverage, rateFormat, tobaccoClass, premiumMode)</t>
  </si>
  <si>
    <t>= CTLClassCalculation ( classInputs, eWLCoverageClassesCalculated, censusType, coverage, premiumMode)</t>
  </si>
  <si>
    <t>= CompositeAgeBandCalculationChild ($ChildClassLives, benefitStructure.benefitMax,premiumMode,benefitStructure.flatBenefitAmount,benefitStructure.benefitType)</t>
  </si>
  <si>
    <t>= ADDCoverageCalculation ($ADDCoverage, $EmployeeCoverageCalculatedClasses, $GuaranteedIssueAmountEE, premiumMode)</t>
  </si>
  <si>
    <t>= EWLCoverageCalculation ($EWLCoverage, $EWLCensus, noCensus, premiumMode, censusCalcs)</t>
  </si>
  <si>
    <t>= ewlCoverageCalc.$CalculateEmployeeInfo</t>
  </si>
  <si>
    <t>= STLClassCalculation ( classInputs, ewlCoverageCalc.$Classes, noCensus,  rateFormat, underwriting.guaranteedIssueAmount, $CensusEmployeesValidAges, $OverallLength, coverage, premiumMode)</t>
  </si>
  <si>
    <t>= SWLClassCalculation ( classInputs, ewlCoverageCalc.$Classes, noCensus,  rateFormat, censusType,  fundingStructure.targetParticipationPct, underwriting.guaranteedIssueAmount, $CensusEmployeesValidAges, $OverallLength, coverage, premiumMode )</t>
  </si>
  <si>
    <t>= STLCoverageCalculation ($STLCoverage, noCensus, premiumMode, $EWLCoverageCalculation)</t>
  </si>
  <si>
    <t>= census</t>
  </si>
  <si>
    <t>= WOPClassCalculation ( classInputs, noCensus,  rateFormat, censusType,  $CalculateEmployeeInfo,  fundingStructure.targetParticipationPct, underwriting.guaranteedIssueAmount, $OverallLength, coverage, premiumMode,ewlCoverageCalc.$Classes)</t>
  </si>
  <si>
    <t>= WOPCoverageCalculation ($WaiverCoverage, noCensus, premiumMode,$EWLCoverageCalculation)</t>
  </si>
  <si>
    <t>= CTLCoverageCalculation ($CTLCoverage, $EmployeeCoverageCalculatedClasses, premiumMode)</t>
  </si>
  <si>
    <t>= adbCalc.$PremiumRate</t>
  </si>
  <si>
    <t>= isNotEmpty ($BenefitName)? BenefitAnnualPremiumsReturned (benefitName, age, $MonthlyADBChronicIllness) : 0</t>
  </si>
  <si>
    <t>=  SWLCoverageCalculation ($SWLCoverage, $EWLCensus, noCensus, premiumMode,$EWLCoverageCalculation)</t>
  </si>
  <si>
    <t>= PlanCalculation (plans, $FilteredCensus,  rateEffectiveDate, $NoCensus, $ModalFactor , useSavedAge, premiumMode,$CensusCalculation)</t>
  </si>
  <si>
    <t>= smokerIndicator == true? "Tobacco" : smokerIndicator == false? "NonTobacco" : smokerIndicator == null? "NonTobacco"</t>
  </si>
  <si>
    <t>= censusCalcs[select all having $SmokerIndicator == false or $SmokerIndicator == null]</t>
  </si>
  <si>
    <t>= (Integer) dateDif(dateOfBirth,requestDate,"Y")</t>
  </si>
  <si>
    <t>= (Integer) dateDif(dateOfBirth,wLPriorCarrierEffectiveDate,"Y")</t>
  </si>
  <si>
    <t>= $DefaultCoverage.censusType == "None"</t>
  </si>
  <si>
    <t>SmartRules Collect String[] RDCensusDistributionSelection(Boolean censusExist,AgeBand ageBand,TobaccoClass tobaccoClass,CensusDistribution[] defaultDistribution1Y,CensusDistribution[] defaultTobaccoDistribution1Y,CensusDistribution[] defaultNonTobaccoDistribution1Y,CensusDistribution[] defaultDistribution5Y,CensusDistribution[] defaultTobaccoDistribution5Y,CensusDistribution[] defaultNonTobaccoDistribution5Y, CensusDistribution[] censusDistribution1Y,CensusDistribution[] censusTobaccoDistribution1Y,CensusDistribution[] censusNonTobaccoDistribution1Y,CensusDistribution[] censusDistribution5Y,CensusDistribution[] censusTobaccoDistribution5Y,CensusDistribution[] censusNonTobaccoDistribution5Y)</t>
  </si>
  <si>
    <t>CensusExist</t>
  </si>
  <si>
    <t>false</t>
  </si>
  <si>
    <t>true</t>
  </si>
  <si>
    <t>= RDCensusDistributionSelection(censusExist,$EWLAgeBand,$TobaccoClass, $DefaultDistribution1Y,$DefaultTobaccoDistribution1Y,$DefaultNonTobaccoDistribution1Y,$DefaultDistribution5Y,$DefaultTobaccoDistribution5Y,$DefaultNonTobaccoDistribution5Y, $CensusDistribution1Y,$CensusTobaccoDistribution1Y,$CensusNonTobaccoDistribution1Y,$CensusDistribution5Y,$CensusTobaccoDistribution5Y,$CensusNonTobaccoDistribution5Y)</t>
  </si>
  <si>
    <t>CensusPreCalcs</t>
  </si>
  <si>
    <t>= RDCensusDistribution ($CensusExist,$SelectCoverage.rateFormat,$TobaccoClass,$CensusCalcs)</t>
  </si>
  <si>
    <t>= RDDemographicSummary ($CensusCalcs)</t>
  </si>
  <si>
    <t>= RDLivesByAgeBands ($CensusCalcs,$SelectCoverage.rateFormat).$LivesByAgeBand</t>
  </si>
  <si>
    <t>Spreadsheet SpreadsheetResult RDPlanDetails (SpreadsheetResultPlanCalculation[] planCalcs, Policy policy,SpreadsheetResultCensusCalculation[] censusCalcs,SpreadsheetResultCensusEmployeeAgeCalculation[] ageCalcs)</t>
  </si>
  <si>
    <t>Census</t>
  </si>
  <si>
    <t>= $CensusExist == true and $SelectCoverage.censusType == "None"? census[select all having employeeCoverages[0].plan == policy.plans[0].planCode] : $CensusExist == true and $SelectCoverage.censusType == "Enrolled"? census[select all having (employeeCoverages[0].plan == policy.plans[0].planCode and employeeCoverages[0].eligible == true)]</t>
  </si>
  <si>
    <t>= $CensusExist == true and ($SelectCoverage.censusType == "None" or $SelectCoverage.censusType == "Enrolled")? $CensusPreCalcs : censusCalcs</t>
  </si>
  <si>
    <t>= round(FiveYearsAgeBandDistribution (fiveYearsAgeBand),4)</t>
  </si>
  <si>
    <t>= round(OneYearAgeBandDistribution (oneYearAgeBand),4)</t>
  </si>
  <si>
    <t>= round(($SelectCensusByAgeBand/$TotalCensus),4)</t>
  </si>
  <si>
    <t>AnnualPremiumWithBlendedAssumptionTobaccoDisctinct</t>
  </si>
  <si>
    <t>AnnualPremiumBaseWithBlendedAssumptionNonTobacco</t>
  </si>
  <si>
    <t>UniTobaccoBlendedPrecalc</t>
  </si>
  <si>
    <t>NonTobaccoBlendedPrecalc</t>
  </si>
  <si>
    <t>TobaccoBlendedPrecalc</t>
  </si>
  <si>
    <t>= round(sum($UniTobaccoBlendedPrecalc.$BaseRateWithBlendedAgeAndTobaccoAssumption)/0.12)*0.12</t>
  </si>
  <si>
    <t>= RateBlendedWithAssumptionCalculation (age, $AllGenders, $AllTobaccoClasses, rateFormat )</t>
  </si>
  <si>
    <t>= round(sum($NonTobaccoBlendedPrecalc.$BaseRateWithBlendedAssumptionTobaccoDistinct)/0.12)*0.12</t>
  </si>
  <si>
    <t>= RateBlendedWithAssumptionCalculation(age, $AllGenders, "NonTobacco", rateFormat )</t>
  </si>
  <si>
    <t>= round(sum($TobaccoBlendedPrecalc.$BaseRateWithBlendedAssumptionTobaccoDistinct)/0.12)*0.12</t>
  </si>
  <si>
    <t>= RateBlendedWithAssumptionCalculation(age, $AllGenders, "Tobacco", rateFormat )</t>
  </si>
  <si>
    <t>= round(sum($UniTobaccoBlendedPrecalc.$WaiverRateWithBlendedAgeAndTobaccoAssumption)/0.12)*0.12</t>
  </si>
  <si>
    <t>= round(sum($NonTobaccoBlendedPrecalc.$WaiverRateWithBlendedAssumptionTobaccoDistinct)/0.12)*0.12</t>
  </si>
  <si>
    <t>= round(sum($TobaccoBlendedPrecalc.$WaiverRateWithBlendedAssumptionTobaccoDistinct)/0.12)*0.12</t>
  </si>
  <si>
    <t>MonthlyPremiumCalcX</t>
  </si>
  <si>
    <t>= flatten(ageBandedRateCards[select all having ageBand == $AgeBand].rateCard.rate)</t>
  </si>
  <si>
    <t>= $EWLTotalVolume/1000*$CompositeAgeBandCalculation.$Rate</t>
  </si>
  <si>
    <t>= $MonthlyPremium*premiumMode</t>
  </si>
  <si>
    <t>= round((ADDAnnualPremium ($SelectAge)[(item)select first having item!= null]/premiumMode),2)</t>
  </si>
  <si>
    <t>= new RateCardPremium($AnnualPremium,($AnnualPremium/premiumMode))</t>
  </si>
  <si>
    <t>= round(ChildTermAnnualPremium ($SelectAge)[(item)select first having item!= null] /premiumMode,2)</t>
  </si>
  <si>
    <t>= round($EstimatedAnnualPremium/premiumMode,2)</t>
  </si>
  <si>
    <t>= RateCalculation( coverageCode, premiumMode,$RiderRateCardPreCalc)</t>
  </si>
  <si>
    <t>= RateCalculation(coverageCode, premiumMode,$RiderRateCardPreCalc)</t>
  </si>
  <si>
    <t>= round(riderRateCard.rateCard.rate/premiumMode,2)</t>
  </si>
  <si>
    <t>= round($AnnualPremiumPerCoverage/premiumMode,2)</t>
  </si>
  <si>
    <r>
      <t xml:space="preserve">Spreadsheet SpreadsheetResult </t>
    </r>
    <r>
      <rPr>
        <b/>
        <sz val="11"/>
        <rFont val="Franklin Gothic Book"/>
        <family val="2"/>
      </rPr>
      <t>PolicyCalculation</t>
    </r>
    <r>
      <rPr>
        <sz val="11"/>
        <color theme="0" tint="-0.499984740745262"/>
        <rFont val="Franklin Gothic Book"/>
        <family val="2"/>
      </rPr>
      <t xml:space="preserve"> (Policy policy)</t>
    </r>
  </si>
  <si>
    <r>
      <t xml:space="preserve">Spreadsheet SpreadsheetResult </t>
    </r>
    <r>
      <rPr>
        <b/>
        <sz val="11"/>
        <rFont val="Franklin Gothic Book"/>
        <family val="2"/>
      </rPr>
      <t>PlanCalculation</t>
    </r>
    <r>
      <rPr>
        <sz val="11"/>
        <color theme="0" tint="-0.499984740745262"/>
        <rFont val="Franklin Gothic Book"/>
        <family val="2"/>
      </rPr>
      <t xml:space="preserve"> ( Plan plan, CensusEmployee[] census, Date rateEffectiveDate, Boolean noCensus, Double modalFactor,Boolean useSavedAge, Integer premiumMode, SpreadsheetResultCensusCalculation[] censusCalcs)</t>
    </r>
  </si>
  <si>
    <r>
      <t xml:space="preserve">Spreadsheet SpreadsheetResult </t>
    </r>
    <r>
      <rPr>
        <b/>
        <sz val="11"/>
        <rFont val="Franklin Gothic Book"/>
        <family val="2"/>
      </rPr>
      <t xml:space="preserve">EWLCoverageCalculation </t>
    </r>
    <r>
      <rPr>
        <sz val="11"/>
        <color theme="0" tint="-0.499984740745262"/>
        <rFont val="Franklin Gothic Book"/>
        <family val="2"/>
      </rPr>
      <t>( Coverage coverage, CensusEmployee[] census, Boolean noCensus, Integer premiumMode, SpreadsheetResultCensusCalculation[] censusCalcs)</t>
    </r>
  </si>
  <si>
    <r>
      <t xml:space="preserve">Spreadsheet SpreadsheetResult </t>
    </r>
    <r>
      <rPr>
        <b/>
        <sz val="11"/>
        <rFont val="Franklin Gothic Book"/>
        <family val="2"/>
      </rPr>
      <t xml:space="preserve">SWLCoverageCalculation </t>
    </r>
    <r>
      <rPr>
        <sz val="11"/>
        <color theme="0" tint="-0.499984740745262"/>
        <rFont val="Franklin Gothic Book"/>
        <family val="2"/>
      </rPr>
      <t>( Coverage coverage, CensusEmployee[] censusEmployee,  Boolean noCensus,Integer premiumMode, SpreadsheetResultEWLCoverageCalculation ewlCoverageCalc)</t>
    </r>
  </si>
  <si>
    <r>
      <t xml:space="preserve">Spreadsheet SpreadsheetResult </t>
    </r>
    <r>
      <rPr>
        <b/>
        <sz val="11"/>
        <rFont val="Franklin Gothic Book"/>
        <family val="2"/>
      </rPr>
      <t>STLCoverageCalculation</t>
    </r>
    <r>
      <rPr>
        <sz val="11"/>
        <color theme="0" tint="-0.499984740745262"/>
        <rFont val="Franklin Gothic Book"/>
        <family val="2"/>
      </rPr>
      <t xml:space="preserve"> ( Coverage coverage, Boolean noCensus, Integer premiumMode, SpreadsheetResultEWLCoverageCalculation ewlCoverageCalc)</t>
    </r>
  </si>
  <si>
    <r>
      <t xml:space="preserve">Spreadsheet SpreadsheetResult </t>
    </r>
    <r>
      <rPr>
        <b/>
        <sz val="11"/>
        <rFont val="Franklin Gothic Book"/>
        <family val="2"/>
      </rPr>
      <t>WOPCoverageCalculation</t>
    </r>
    <r>
      <rPr>
        <sz val="11"/>
        <color theme="0" tint="-0.499984740745262"/>
        <rFont val="Franklin Gothic Book"/>
        <family val="2"/>
      </rPr>
      <t xml:space="preserve"> ( Coverage coverage, Boolean noCensus, Integer premiumMode, SpreadsheetResultEWLCoverageCalculation ewlCoverageCalc)</t>
    </r>
  </si>
  <si>
    <r>
      <t xml:space="preserve">Spreadsheet SpreadsheetResult </t>
    </r>
    <r>
      <rPr>
        <b/>
        <sz val="11"/>
        <rFont val="Franklin Gothic Book"/>
        <family val="2"/>
      </rPr>
      <t xml:space="preserve">CTLCoverageCalculation </t>
    </r>
    <r>
      <rPr>
        <sz val="11"/>
        <color theme="0" tint="-0.499984740745262"/>
        <rFont val="Franklin Gothic Book"/>
        <family val="2"/>
      </rPr>
      <t>( Coverage coverage, SpreadsheetResultEWLClassCalculation[] eWLCoverageClassesCalculated, PremiumMode premiumMode)</t>
    </r>
  </si>
  <si>
    <r>
      <t xml:space="preserve">Spreadsheet SpreadsheetResult </t>
    </r>
    <r>
      <rPr>
        <b/>
        <sz val="11"/>
        <rFont val="Franklin Gothic Book"/>
        <family val="2"/>
      </rPr>
      <t>ADDCoverageCalculation</t>
    </r>
    <r>
      <rPr>
        <sz val="11"/>
        <color theme="0" tint="-0.499984740745262"/>
        <rFont val="Franklin Gothic Book"/>
        <family val="2"/>
      </rPr>
      <t xml:space="preserve"> ( Coverage coverage, SpreadsheetResultEWLClassCalculation[] eWLCoverageClassesCalculated, Double guaranteedIssueAmountEE, Integer premiumMode)</t>
    </r>
  </si>
  <si>
    <r>
      <t xml:space="preserve">SimpleRules FiveYearsAgeBand </t>
    </r>
    <r>
      <rPr>
        <b/>
        <sz val="11"/>
        <rFont val="Franklin Gothic Book"/>
        <family val="2"/>
      </rPr>
      <t>AgeToFiveAgeBand</t>
    </r>
    <r>
      <rPr>
        <sz val="11"/>
        <rFont val="Franklin Gothic Book"/>
        <family val="2"/>
      </rPr>
      <t xml:space="preserve"> </t>
    </r>
    <r>
      <rPr>
        <sz val="11"/>
        <color theme="0" tint="-0.499984740745262"/>
        <rFont val="Franklin Gothic Book"/>
        <family val="2"/>
      </rPr>
      <t>( Integer age )</t>
    </r>
  </si>
  <si>
    <r>
      <t xml:space="preserve">SimpleRules OneYearAgeBand </t>
    </r>
    <r>
      <rPr>
        <b/>
        <sz val="11"/>
        <rFont val="Franklin Gothic Book"/>
        <family val="2"/>
      </rPr>
      <t>AgeToOneAgeBand</t>
    </r>
    <r>
      <rPr>
        <sz val="11"/>
        <color theme="0" tint="-0.499984740745262"/>
        <rFont val="Franklin Gothic Book"/>
        <family val="2"/>
      </rPr>
      <t xml:space="preserve"> ( Integer age )</t>
    </r>
  </si>
  <si>
    <r>
      <t xml:space="preserve">SimpleRules Double </t>
    </r>
    <r>
      <rPr>
        <b/>
        <sz val="11"/>
        <rFont val="Franklin Gothic Book"/>
        <family val="2"/>
      </rPr>
      <t>AnnualSpendPerEE</t>
    </r>
    <r>
      <rPr>
        <sz val="11"/>
        <color theme="0" tint="-0.499984740745262"/>
        <rFont val="Franklin Gothic Book"/>
        <family val="2"/>
      </rPr>
      <t xml:space="preserve"> (Double guaranteedIssueAmount)</t>
    </r>
  </si>
  <si>
    <r>
      <t xml:space="preserve">SimpleRules Double </t>
    </r>
    <r>
      <rPr>
        <b/>
        <sz val="11"/>
        <rFont val="Franklin Gothic Book"/>
        <family val="2"/>
      </rPr>
      <t>AnnualSpendPerEEChild</t>
    </r>
    <r>
      <rPr>
        <sz val="11"/>
        <rFont val="Franklin Gothic Book"/>
        <family val="2"/>
      </rPr>
      <t xml:space="preserve"> </t>
    </r>
    <r>
      <rPr>
        <sz val="11"/>
        <color theme="0" tint="-0.499984740745262"/>
        <rFont val="Franklin Gothic Book"/>
        <family val="2"/>
      </rPr>
      <t>(Double benefitMax)</t>
    </r>
  </si>
  <si>
    <r>
      <t xml:space="preserve">Spreadsheet SpreadsheetResult </t>
    </r>
    <r>
      <rPr>
        <b/>
        <sz val="11"/>
        <rFont val="Franklin Gothic Book"/>
        <family val="2"/>
      </rPr>
      <t>CensusDistributionCalculation</t>
    </r>
    <r>
      <rPr>
        <sz val="11"/>
        <color theme="0" tint="-0.499984740745262"/>
        <rFont val="Franklin Gothic Book"/>
        <family val="2"/>
      </rPr>
      <t xml:space="preserve"> (Age age, Boolean noCensus, SpreadsheetResultCensusCalculation[] censusCalcs, Integer overallLength)</t>
    </r>
  </si>
  <si>
    <r>
      <t xml:space="preserve">SimpleLookup Double </t>
    </r>
    <r>
      <rPr>
        <b/>
        <sz val="11"/>
        <rFont val="Franklin Gothic Book"/>
        <family val="2"/>
      </rPr>
      <t>DefaultEmployeeGrid</t>
    </r>
    <r>
      <rPr>
        <b/>
        <sz val="11"/>
        <color theme="0" tint="-0.499984740745262"/>
        <rFont val="Franklin Gothic Book"/>
        <family val="2"/>
      </rPr>
      <t xml:space="preserve"> </t>
    </r>
    <r>
      <rPr>
        <sz val="11"/>
        <color theme="0" tint="-0.499984740745262"/>
        <rFont val="Franklin Gothic Book"/>
        <family val="2"/>
      </rPr>
      <t>(Age age, Gender gender)</t>
    </r>
  </si>
  <si>
    <r>
      <t xml:space="preserve">SimpleRules Double </t>
    </r>
    <r>
      <rPr>
        <b/>
        <sz val="11"/>
        <rFont val="Franklin Gothic Book"/>
        <family val="2"/>
      </rPr>
      <t xml:space="preserve">AverageFaceAmount </t>
    </r>
    <r>
      <rPr>
        <sz val="11"/>
        <color theme="0" tint="-0.499984740745262"/>
        <rFont val="Franklin Gothic Book"/>
        <family val="2"/>
      </rPr>
      <t>(Double benefitMax)</t>
    </r>
  </si>
  <si>
    <r>
      <t xml:space="preserve">SimpleRules Double </t>
    </r>
    <r>
      <rPr>
        <b/>
        <sz val="11"/>
        <rFont val="Franklin Gothic Book"/>
        <family val="2"/>
      </rPr>
      <t>SpouseAverageFaceAmount</t>
    </r>
    <r>
      <rPr>
        <sz val="11"/>
        <color theme="0" tint="-0.499984740745262"/>
        <rFont val="Franklin Gothic Book"/>
        <family val="2"/>
      </rPr>
      <t>(Double guaranteedIssueAmount)</t>
    </r>
  </si>
  <si>
    <r>
      <t xml:space="preserve">Spreadsheet SpreadsheetResult </t>
    </r>
    <r>
      <rPr>
        <b/>
        <sz val="11"/>
        <rFont val="Franklin Gothic Book"/>
        <family val="2"/>
      </rPr>
      <t>EWLClassCalculation</t>
    </r>
    <r>
      <rPr>
        <sz val="11"/>
        <color theme="0" tint="-0.499984740745262"/>
        <rFont val="Franklin Gothic Book"/>
        <family val="2"/>
      </rPr>
      <t xml:space="preserve"> (ClassInfo classInputs, Boolean noCensus, RateFormat rateFormat, CensusType censusType, SpreadsheetResultCensusCalculation[] census, Double targetParticipationPct, Integer eligibleCensusLives, Double guaranteedIssueAmount, Integer overallLength, Coverage coverage, Integer premiumMode, CensusEmployee[] censusEES)</t>
    </r>
  </si>
  <si>
    <r>
      <t xml:space="preserve">Spreadsheet SpreadsheetResult </t>
    </r>
    <r>
      <rPr>
        <b/>
        <sz val="11"/>
        <rFont val="Franklin Gothic Book"/>
        <family val="2"/>
      </rPr>
      <t xml:space="preserve">WOPClassCalculation </t>
    </r>
    <r>
      <rPr>
        <sz val="11"/>
        <color theme="0" tint="-0.499984740745262"/>
        <rFont val="Franklin Gothic Book"/>
        <family val="2"/>
      </rPr>
      <t>( ClassInfo class, Boolean noCensus, RateFormat rateFormat, CensusType censusType, SpreadsheetResultCensusCalculation[] census, Double targetParticipationPct, Double guaranteedIssueAmount, Integer overallLength, Coverage coverage,Integer premiumMode, SpreadsheetResultEWLClassCalculation[] ewlClassCalcs)</t>
    </r>
  </si>
  <si>
    <r>
      <t xml:space="preserve">Spreadsheet SpreadsheetResult </t>
    </r>
    <r>
      <rPr>
        <b/>
        <sz val="11"/>
        <rFont val="Franklin Gothic Book"/>
        <family val="2"/>
      </rPr>
      <t>ADDClassCalculation</t>
    </r>
    <r>
      <rPr>
        <b/>
        <sz val="11"/>
        <color theme="0" tint="-0.499984740745262"/>
        <rFont val="Franklin Gothic Book"/>
        <family val="2"/>
      </rPr>
      <t xml:space="preserve"> </t>
    </r>
    <r>
      <rPr>
        <sz val="11"/>
        <color theme="0" tint="-0.499984740745262"/>
        <rFont val="Franklin Gothic Book"/>
        <family val="2"/>
      </rPr>
      <t>( ClassInfo classInput, CoverageCode coverageCode, SpreadsheetResultEWLClassCalculation[] eWLCoverageClassesCalculated, Double guaranteedIssueAmountEE, Integer premiumMode)</t>
    </r>
  </si>
  <si>
    <r>
      <t xml:space="preserve">Spreadsheet SpreadsheetResult </t>
    </r>
    <r>
      <rPr>
        <b/>
        <sz val="11"/>
        <rFont val="Franklin Gothic Book"/>
        <family val="2"/>
      </rPr>
      <t>STLClassCalculation</t>
    </r>
    <r>
      <rPr>
        <sz val="11"/>
        <color theme="0" tint="-0.499984740745262"/>
        <rFont val="Franklin Gothic Book"/>
        <family val="2"/>
      </rPr>
      <t xml:space="preserve"> ( ClassInfo class, SpreadsheetResultEWLClassCalculation[] ewlClassCalcs, Boolean noCensus, RateFormat rateFormat, Double guaranteedIssueAmount, SpreadsheetResultCensusCalculation[] census,  Integer overallLength, Coverage coverage, Integer premiumMode)</t>
    </r>
  </si>
  <si>
    <r>
      <t xml:space="preserve">Spreadsheet SpreadsheetResult </t>
    </r>
    <r>
      <rPr>
        <b/>
        <sz val="11"/>
        <rFont val="Franklin Gothic Book"/>
        <family val="2"/>
      </rPr>
      <t xml:space="preserve">SWLClassCalculation </t>
    </r>
    <r>
      <rPr>
        <sz val="11"/>
        <color theme="0" tint="-0.499984740745262"/>
        <rFont val="Franklin Gothic Book"/>
        <family val="2"/>
      </rPr>
      <t>( ClassInfo class, SpreadsheetResultEWLClassCalculation[] ewlClassCalcs, Boolean noCensus, RateFormat rateFormat, CensusType censusType, Double targetParticipationPct, Double guaranteedIssueAmount, SpreadsheetResultCensusCalculation[] census, Integer overallLength, Coverage coverage, Integer premiumMode)</t>
    </r>
  </si>
  <si>
    <r>
      <t xml:space="preserve">Spreadsheet SpreadsheetResult </t>
    </r>
    <r>
      <rPr>
        <b/>
        <sz val="11"/>
        <rFont val="Franklin Gothic Book"/>
        <family val="2"/>
      </rPr>
      <t>CTLClassCalculation</t>
    </r>
    <r>
      <rPr>
        <sz val="11"/>
        <color theme="0" tint="-0.499984740745262"/>
        <rFont val="Franklin Gothic Book"/>
        <family val="2"/>
      </rPr>
      <t xml:space="preserve"> (ClassInfo class, SpreadsheetResultEWLClassCalculation[] eWLCoverageClassesCalculated, CensusType censusType, Coverage coverage,PremiumMode premiumMode)</t>
    </r>
  </si>
  <si>
    <r>
      <t xml:space="preserve">Spreadsheet SpreadsheetResult </t>
    </r>
    <r>
      <rPr>
        <b/>
        <sz val="11"/>
        <rFont val="Franklin Gothic Book"/>
        <family val="2"/>
      </rPr>
      <t xml:space="preserve">CompositeAgeBandCalculationChild </t>
    </r>
    <r>
      <rPr>
        <sz val="11"/>
        <color theme="0" tint="-0.499984740745262"/>
        <rFont val="Franklin Gothic Book"/>
        <family val="2"/>
      </rPr>
      <t>(Integer numberOfLivesClass, Double benefitMax,PremiumMode premiumMode,Double flatBenefitAmount, String benefitType)</t>
    </r>
  </si>
  <si>
    <r>
      <t xml:space="preserve">Spreadsheet Double </t>
    </r>
    <r>
      <rPr>
        <b/>
        <sz val="11"/>
        <rFont val="Franklin Gothic Book"/>
        <family val="2"/>
      </rPr>
      <t>RateCalculation(</t>
    </r>
    <r>
      <rPr>
        <sz val="11"/>
        <color theme="0" tint="-0.499984740745262"/>
        <rFont val="Franklin Gothic Book"/>
        <family val="2"/>
      </rPr>
      <t>CoverageCode coverageCode, Integer premiumMode, SpreadsheetResultAnnualPremiumForCoverageCode annualPremiumsForCoverage)</t>
    </r>
  </si>
  <si>
    <r>
      <t>Spreadsheet SpreadsheetResult</t>
    </r>
    <r>
      <rPr>
        <b/>
        <sz val="11"/>
        <rFont val="Franklin Gothic Book"/>
        <family val="2"/>
      </rPr>
      <t xml:space="preserve"> BenefitPremiumAmount </t>
    </r>
    <r>
      <rPr>
        <sz val="11"/>
        <color theme="0" tint="-0.499984740745262"/>
        <rFont val="Franklin Gothic Book"/>
        <family val="2"/>
      </rPr>
      <t>(Age age, Benefit benefit, TobaccoClass tobaccoClass)</t>
    </r>
  </si>
  <si>
    <r>
      <t xml:space="preserve">SmartRules Double </t>
    </r>
    <r>
      <rPr>
        <b/>
        <sz val="11"/>
        <rFont val="Franklin Gothic Book"/>
        <family val="2"/>
      </rPr>
      <t xml:space="preserve">CoverageAnnualPremiumsReturnedX </t>
    </r>
    <r>
      <rPr>
        <sz val="11"/>
        <color theme="0" tint="-0.499984740745262"/>
        <rFont val="Franklin Gothic Book"/>
        <family val="2"/>
      </rPr>
      <t>(Double annualEmployeeWholeLifeRate, Double annualSpouseWholeLifeRate, Double annualSpouseTermLifeRate, Double annualChildTermLifeRate, Double annualAccidentalDeathAndDismembermentRate, Double annualWaiverOfPremiumRate, CoverageCode coverageCode)</t>
    </r>
  </si>
  <si>
    <r>
      <t xml:space="preserve">SmartRules Double </t>
    </r>
    <r>
      <rPr>
        <b/>
        <sz val="11"/>
        <rFont val="Franklin Gothic Book"/>
        <family val="2"/>
      </rPr>
      <t>BenefitAnnualPremiumsReturned</t>
    </r>
    <r>
      <rPr>
        <sz val="11"/>
        <color theme="0" tint="-0.499984740745262"/>
        <rFont val="Franklin Gothic Book"/>
        <family val="2"/>
      </rPr>
      <t xml:space="preserve"> (BenefitName benefitName, Age age, SpreadsheetResultMonthlyADBChronicIllnessCalc adbCalc)</t>
    </r>
  </si>
  <si>
    <r>
      <t xml:space="preserve">SmartRules Collect RiderRateCard[][] </t>
    </r>
    <r>
      <rPr>
        <b/>
        <sz val="11"/>
        <rFont val="Franklin Gothic Book"/>
        <family val="2"/>
      </rPr>
      <t xml:space="preserve">CoverageRiderRateCardsReturned </t>
    </r>
    <r>
      <rPr>
        <sz val="11"/>
        <color theme="0" tint="-0.499984740745262"/>
        <rFont val="Franklin Gothic Book"/>
        <family val="2"/>
      </rPr>
      <t>(CoverageCode coverageCode, Double ewlBaseRate, Double swlBaseRate,Double stlRate, Double ctlRate,Double addRate, Double wopRate,RiderRateCard[] benefitRiderCards)</t>
    </r>
  </si>
  <si>
    <r>
      <t xml:space="preserve">SmartRules Collect RiderRateCard[][] </t>
    </r>
    <r>
      <rPr>
        <b/>
        <sz val="11"/>
        <rFont val="Franklin Gothic Book"/>
        <family val="2"/>
      </rPr>
      <t>CoverageRiderRateCardsReturned2</t>
    </r>
    <r>
      <rPr>
        <sz val="11"/>
        <color theme="0" tint="-0.499984740745262"/>
        <rFont val="Franklin Gothic Book"/>
        <family val="2"/>
      </rPr>
      <t xml:space="preserve"> (CoverageCode coverageCode, Double stlRate, Double wopRate)</t>
    </r>
  </si>
  <si>
    <r>
      <t xml:space="preserve">Spreadsheet RiderRateCard </t>
    </r>
    <r>
      <rPr>
        <b/>
        <sz val="11"/>
        <rFont val="Franklin Gothic Book"/>
        <family val="2"/>
      </rPr>
      <t>RiderRateCardRecalc</t>
    </r>
    <r>
      <rPr>
        <sz val="11"/>
        <color theme="0" tint="-0.499984740745262"/>
        <rFont val="Franklin Gothic Book"/>
        <family val="2"/>
      </rPr>
      <t xml:space="preserve"> (RiderRateCard riderRateCard, Integer premiumMode)</t>
    </r>
  </si>
  <si>
    <r>
      <t xml:space="preserve">Spreadsheet SpreadsheetResult </t>
    </r>
    <r>
      <rPr>
        <b/>
        <sz val="11"/>
        <rFont val="Franklin Gothic Book"/>
        <family val="2"/>
      </rPr>
      <t>AnnualPremiumForCoverageCode</t>
    </r>
    <r>
      <rPr>
        <sz val="11"/>
        <rFont val="Franklin Gothic Book"/>
        <family val="2"/>
      </rPr>
      <t xml:space="preserve"> </t>
    </r>
    <r>
      <rPr>
        <sz val="11"/>
        <color theme="0" tint="-0.499984740745262"/>
        <rFont val="Franklin Gothic Book"/>
        <family val="2"/>
      </rPr>
      <t>(Age age, Coverage coverage, RateFormat rateFormat, TobaccoClass tobaccoClass,PremiumMode premiumMode)</t>
    </r>
  </si>
  <si>
    <r>
      <t xml:space="preserve">Spreadsheet  SpreadsheetResult </t>
    </r>
    <r>
      <rPr>
        <b/>
        <sz val="11"/>
        <rFont val="Franklin Gothic Book"/>
        <family val="2"/>
      </rPr>
      <t>RDCensusDistribution</t>
    </r>
    <r>
      <rPr>
        <sz val="11"/>
        <color theme="0" tint="-0.499984740745262"/>
        <rFont val="Franklin Gothic Book"/>
        <family val="2"/>
      </rPr>
      <t xml:space="preserve"> (Boolean censusExist,RateFormat rateFormat, TobaccoClass tobaccoClass,SpreadsheetResultCensusCalculation[] censusCalcs)</t>
    </r>
  </si>
  <si>
    <r>
      <t xml:space="preserve">Spreadsheet Double </t>
    </r>
    <r>
      <rPr>
        <b/>
        <sz val="11"/>
        <rFont val="Franklin Gothic Book"/>
        <family val="2"/>
      </rPr>
      <t>RDRatePerBenefitRecalc(</t>
    </r>
    <r>
      <rPr>
        <sz val="11"/>
        <color theme="0" tint="-0.499984740745262"/>
        <rFont val="Franklin Gothic Book"/>
        <family val="2"/>
      </rPr>
      <t>Double rate, Double benefitAmount)</t>
    </r>
  </si>
  <si>
    <r>
      <t>Spreadsheet SpreadsheetResult</t>
    </r>
    <r>
      <rPr>
        <b/>
        <sz val="11"/>
        <rFont val="Franklin Gothic Book"/>
        <family val="2"/>
      </rPr>
      <t xml:space="preserve"> RDPremiumsByBenefitAmount</t>
    </r>
    <r>
      <rPr>
        <sz val="11"/>
        <color theme="0" tint="-0.499984740745262"/>
        <rFont val="Franklin Gothic Book"/>
        <family val="2"/>
      </rPr>
      <t>(Coverage coverage, SpreadsheetResultPlanCalculation planCalc)</t>
    </r>
  </si>
  <si>
    <t>= flatten($PremiumByBenefitAmountsPreCalc.$PremiumsByBenefitAmount)</t>
  </si>
  <si>
    <t>= flatten($PremiumByBenefitAmountsPreCalc.$BenefitAmountCalc)[(p) transform unique to p]</t>
  </si>
  <si>
    <t>PremiumByBenefitAmountsPreCalc</t>
  </si>
  <si>
    <t>= flatten($PremiumByBenefitAmountsPreCalc.$PremiumsByBenefitAmountNT)</t>
  </si>
  <si>
    <t>= flatten($PremiumByBenefitAmountsPreCalc.$PremiumsByBenefitAmountT)</t>
  </si>
  <si>
    <t>= getValues(CoverageCode)</t>
  </si>
  <si>
    <t>= AgeBandsListDetails($CoverageCode)</t>
  </si>
  <si>
    <r>
      <t xml:space="preserve">Spreadsheet SpreadsheetResult </t>
    </r>
    <r>
      <rPr>
        <b/>
        <sz val="11"/>
        <rFont val="Franklin Gothic Book"/>
        <family val="2"/>
      </rPr>
      <t>AgeBandsListDetails</t>
    </r>
    <r>
      <rPr>
        <sz val="11"/>
        <color theme="0" tint="-0.499984740745262"/>
        <rFont val="Franklin Gothic Book"/>
        <family val="2"/>
      </rPr>
      <t>(CoverageCode coverageCode)</t>
    </r>
  </si>
  <si>
    <t>= AllOneYearAgeBandsTailored($CoverageCode)</t>
  </si>
  <si>
    <t>= CompositeAgeBandTailored(coverageCode)</t>
  </si>
  <si>
    <t>= (coverageCode == "ChildTermLife" or coverageCode == "AccidentalDeathAndDismemberment")? null : getValues (TobaccoClass)</t>
  </si>
  <si>
    <t>= (coverageCode == "WaiverOfPremium" and currentAgeBand == "65 - 70")? "65": (String) currentAgeBand</t>
  </si>
  <si>
    <t>= $CoverageCode == "WaiverOfPremium"? add("18 - 24","25 - 29","30 - 34","35 - 39","40 - 44","45 - 49","50 - 54","55 - 59","60 - 64", "65") : AllFiveYearsAgeBandsTailored($CoverageCode)</t>
  </si>
  <si>
    <t>= AgeBandFiveYearsAge (currentAgeBand)</t>
  </si>
  <si>
    <t>= RDReadAgeBandPremiums($CoverageCode,planCalc)[select all having tobaccoClass == "Tobacco"or isEmpty(tobaccoClass)]</t>
  </si>
  <si>
    <t>= RDReadAgeBandPremiums($CoverageCode,planCalc)[select all having tobaccoClass == "NonTobacco"or isEmpty(tobaccoClass)]</t>
  </si>
  <si>
    <t>= $TobaccoClass == "UniTobacco"? RDListedTierCards($FilterTier1Cards) : null</t>
  </si>
  <si>
    <t>= $TobaccoClassSWL == "UniTobacco"? RDListedTierCards($FilterTier2Cards) : null</t>
  </si>
  <si>
    <t>= $TobaccoClass == "UniTobacco"? null : RDListedTierCards($FilterTier1CardsT)</t>
  </si>
  <si>
    <t>= $TobaccoClass == "UniTobacco"? null : RDListedTierCards($FilterTier1CardsNT)</t>
  </si>
  <si>
    <t>= $TobaccoClassSWL == "UniTobacco"? null : RDListedTierCards($FilterTier2CardsT)</t>
  </si>
  <si>
    <t>= $TobaccoClassSWL == "UniTobacco"? null : RDListedTierCards($FilterTier2CardsNT)</t>
  </si>
  <si>
    <t>= (flatten(RDTierAttributes($PremiumRatesByBenefitAmounts, $TiersIncluded).$TierCalcs))[(p) transform unique to p][select all having isNotEmpty(premium)]</t>
  </si>
  <si>
    <t>= (flatten(RDTierAttributes($PremiumRatesByBenefitAmountsT, $TiersIncluded).$TierCalcs))[(p) transform unique to p][select all having isNotEmpty(premium)]</t>
  </si>
  <si>
    <t>= (flatten(RDTierAttributes($PremiumRatesByBenefitAmountsNT, $TiersIncluded).$TierCalcs))[(p) transform unique to p][select all having isNotEmpty(premium)]</t>
  </si>
  <si>
    <t>= round(premium,2) + 0.00</t>
  </si>
  <si>
    <t>ADDPremiums</t>
  </si>
  <si>
    <t>= RDRatesByBenefitAmountPerTier(tierCards, currentTier, $TierBenefitAmounts, $TierAgeBands,$ValidateADD,$ADDPremiums)</t>
  </si>
  <si>
    <t>= $ValidateADD? $SelectTierCards[select all having coverageCode == "AccidentalDeathAndDismemberment"] : null</t>
  </si>
  <si>
    <t>Spreadsheet TierCard RDRatesByBenefitAmountPerTier(TierCard[] tierCards, String currentTier, Double currentBenefitAmount, String currentAgeBand, Boolean addIncluded, TierCard[] addTierCards)</t>
  </si>
  <si>
    <t>= addTierCards[select first having benefitAmount == currentBenefitAmount].premium</t>
  </si>
  <si>
    <t>ADDPremium</t>
  </si>
  <si>
    <t>= addIncluded? sum($FilterByBenefitAmount.premium) + $ADDPremium : sum($FilterByBenefitAmount.premium)</t>
  </si>
  <si>
    <t>= contains(header, "censusDistribution")? "Census Distribution" : contains(header, "defaultDistribution")? "Default Census Distribution" : contains(header,"defaultNonTobacco")? "NonTobacco Default Census Distribution" : contains(header,"defaultTobacco")? "Tobacco Default Census Distribution" : contains(header,"censusNonTobacco")? "NonTobacco Census Distribution" : contains(header,"censusTobacco")? "Tobacco Census Distribution" : null</t>
  </si>
  <si>
    <t>IsSpouseTermLife</t>
  </si>
  <si>
    <t>= contains($CoveragesListed, "SpouseTermLife")? true : false</t>
  </si>
  <si>
    <t>= $IsSpouseTermLife? "UniTobacco" : contains($TobaccoClassCalc, "Tobacco") or contains($TobaccoClassCalc, "NonTobacco")? "Tobacco" : "UniTobacco"</t>
  </si>
  <si>
    <t>=  round( AnnualSpendPerEE (guaranteedIssueAmount) * $LivesCount,2)</t>
  </si>
  <si>
    <t>FilterCensus</t>
  </si>
  <si>
    <t>Spreadsheet Boolean VolumeCheck ( CensusEmployee[] census, String planCode )</t>
  </si>
  <si>
    <r>
      <t xml:space="preserve">SmartRules Boolean </t>
    </r>
    <r>
      <rPr>
        <b/>
        <sz val="9"/>
        <color theme="1"/>
        <rFont val="Franklin Gothic Book"/>
        <family val="2"/>
      </rPr>
      <t>VolumeEmptyCheck</t>
    </r>
    <r>
      <rPr>
        <sz val="9"/>
        <color theme="1"/>
        <rFont val="Franklin Gothic Book"/>
        <family val="2"/>
      </rPr>
      <t xml:space="preserve"> ( CensusEmployee employeeRecord )</t>
    </r>
  </si>
  <si>
    <t>= anyTrue ( VolumeEmptyCheck($FilterCensus))</t>
  </si>
  <si>
    <t>Return</t>
  </si>
  <si>
    <t>= policy.plans[0].coverages[0].censusType == "Enrolled" and ( VolumeCheck ( census, plans[0].planCode )) == true</t>
  </si>
  <si>
    <r>
      <t xml:space="preserve">Spreadsheet SpreadsheetResult </t>
    </r>
    <r>
      <rPr>
        <b/>
        <sz val="11"/>
        <rFont val="Franklin Gothic Book"/>
        <family val="2"/>
      </rPr>
      <t xml:space="preserve">CensusCalculation </t>
    </r>
    <r>
      <rPr>
        <sz val="11"/>
        <color theme="0" tint="-0.499984740745262"/>
        <rFont val="Franklin Gothic Book"/>
        <family val="2"/>
      </rPr>
      <t>( CensusEmployee censusEmployee, CensusType censusType, Date rateEffectiveDate, Boolean useSavedAge)</t>
    </r>
  </si>
  <si>
    <t>= AgeCalculated (censusEmployee, useSavedAge, $EmployeeDOB, $EmployeeAge, rateEffectiveDate, wLPriorCarrierEffectiveDate)</t>
  </si>
  <si>
    <t>= CensusCalculation ($FilteredCensus, $DefaultCoverage.censusType,rateEffectiveDate,  useSavedAge )</t>
  </si>
  <si>
    <t>= RatingDetails ($PlanCalcs,policy,$CensusCalculation,$RateCardPremium)</t>
  </si>
  <si>
    <r>
      <t xml:space="preserve">Spreadsheet SpreadsheetResult </t>
    </r>
    <r>
      <rPr>
        <b/>
        <sz val="11"/>
        <rFont val="Franklin Gothic Book"/>
        <family val="2"/>
      </rPr>
      <t xml:space="preserve">RatingDetails </t>
    </r>
    <r>
      <rPr>
        <sz val="11"/>
        <color theme="0" tint="-0.499984740745262"/>
        <rFont val="Franklin Gothic Book"/>
        <family val="2"/>
      </rPr>
      <t>(SpreadsheetResultPlanCalculation[] planCalcs,Policy policy, SpreadsheetResultCensusCalculation[] censusCalcs, RateCardPremium policyRateCardPremium)</t>
    </r>
  </si>
  <si>
    <t>= RDPlanDetails(planCalcs,policy,censusCalcs)</t>
  </si>
  <si>
    <r>
      <t xml:space="preserve">Spreadsheet SpreadsheetResult </t>
    </r>
    <r>
      <rPr>
        <b/>
        <sz val="11"/>
        <rFont val="Franklin Gothic Book"/>
        <family val="2"/>
      </rPr>
      <t>RDPlanDetails</t>
    </r>
    <r>
      <rPr>
        <sz val="11"/>
        <color theme="0" tint="-0.499984740745262"/>
        <rFont val="Franklin Gothic Book"/>
        <family val="2"/>
      </rPr>
      <t xml:space="preserve"> (SpreadsheetResultPlanCalculation[] planCalcs, Policy policy,SpreadsheetResultCensusCalculation[] censusCalcs)</t>
    </r>
  </si>
  <si>
    <t>= CensusCalculation ($Census, null, rateEffectiveDate, useSavedAge)</t>
  </si>
  <si>
    <t>= RDTobaccoDistribution ($CensusCalcs,$AllTobaccoClass)</t>
  </si>
  <si>
    <r>
      <t xml:space="preserve">Spreadsheet SpreadsheetResult </t>
    </r>
    <r>
      <rPr>
        <b/>
        <sz val="11"/>
        <rFont val="Franklin Gothic Book"/>
        <family val="2"/>
      </rPr>
      <t>RDTobaccoDistribution</t>
    </r>
    <r>
      <rPr>
        <sz val="11"/>
        <color theme="0" tint="-0.499984740745262"/>
        <rFont val="Franklin Gothic Book"/>
        <family val="2"/>
      </rPr>
      <t xml:space="preserve"> (SpreadsheetResultCensusCalculation[] censusCalcs, TobaccoClass tobaccoClass)</t>
    </r>
  </si>
  <si>
    <t>= length(censusCalcs[select all having $EmployeeTobaccoStatus == $CurrentTobaccoStatus])</t>
  </si>
  <si>
    <t>= OneYearAgeBandCalculation ($OneYearAgeBands, $AllTobaccoClasses, $SelectEWLClassCalc.$CensusType, $LivesCount, census, guaranteedIssueAmount, overallLength, noCensus, coverage, premiumMode)</t>
  </si>
  <si>
    <t>= $OneYearAgeBandedCalculation.$AgeBandedRateCard</t>
  </si>
  <si>
    <t>= $OneYearAgeBandedCalculation.$RateCardFull</t>
  </si>
  <si>
    <t>= $OneYearAgeBandedCalculation.$RateCardPremium</t>
  </si>
  <si>
    <t>Spreadsheet SpreadsheetResult OneYearAgeBandCalculation (OneYearAgeBand currentAgeBand, TobaccoClass tobaccoClass, CensusType censusType, Integer numberOfLives, SpreadsheetResultCensusCalculation[] census, Double guaranteedIssueAmount, Integer overallLength, Boolean noCensus, Coverage coverage, Integer premiumMode)</t>
  </si>
  <si>
    <t>= OneYearAgeBandCalculation ($OneYearAgeBands, $AllTobaccoClasses, censusType, $LivesCount, census, guaranteedIssueAmount, overallLength, noCensus, coverage, premiumMode)</t>
  </si>
  <si>
    <t>SmartRules Integer AgeCalculatedMR (Integer memberAge, Date dateOfBirth, Boolean useSavedAge, Boolean employeeDOB, Boolean employeeAge,  Date requestDate)</t>
  </si>
  <si>
    <t>= addAll("M", "F")</t>
  </si>
  <si>
    <t>//AAEB-30768_genderFix</t>
  </si>
  <si>
    <t>= FilteredCensus ($DefaultCoverage.censusType, policy.plans[0].planName, census)</t>
  </si>
  <si>
    <t>SmartRules CensusEmployee[] FilteredCensus (CensusType censusType, String planName, CensusEmployee[] census)</t>
  </si>
  <si>
    <t>= census [select all having employeeCoverages [select first where plan == planName].eligible == true]</t>
  </si>
  <si>
    <t>= census [select all having employeeCoverages [select first where plan == planName].elected == true]</t>
  </si>
  <si>
    <t>= $CensusExist == true and $SelectCoverage.censusType == "None"? census[select all having employeeCoverages[0].plan == policy.plans[0].planName] : $CensusExist == true and $SelectCoverage.censusType == "Enrolled"? census[select all having (employeeCoverages[0].plan == policy.plans[0].planName and employeeCoverages[0].eligible == true)]</t>
  </si>
  <si>
    <t>= policy.plans[0].coverages[0].censusType == "Enrolled" and ( VolumeCheck ( census, plans[0].planName)) == true</t>
  </si>
  <si>
    <t>Spreadsheet Boolean VolumeCheck ( CensusEmployee[] census, String planName )</t>
  </si>
  <si>
    <t>= AgeCalculated (censusEmployee, useSavedAge, $EmployeeDOB, $EmployeeAge, rateEffectiveDate, employeeCoverage[0].wLPriorCarrierEffectiveDate)</t>
  </si>
  <si>
    <t>= AgeCalculated (censusEmployee, useSavedAge, $EmployeeDOB, $EmployeeAge, rateEffectiveDate, employeeCoverages[0].wLPriorCarrierEffectiveDate)</t>
  </si>
  <si>
    <t>= isEmpty ( dateOfBirth )</t>
  </si>
  <si>
    <t>EmployeeCoverage</t>
  </si>
  <si>
    <t>= employeeCoverages[select first having coverageCode == "EmployeeWholeLife"]</t>
  </si>
  <si>
    <t>= isEmpty ($EmployeeCoverage.wLPriorCarrierEffectiveDate)</t>
  </si>
  <si>
    <t>= coverage.coverageCode</t>
  </si>
  <si>
    <t>= AgeCalculated (censusEmployee, useSavedAge, $EmployeeDOB, $EmployeeAge, rateEffectiveDate, employeeCoverages[0].priorCarrierEffectiveDate)</t>
  </si>
  <si>
    <t>= isEmpty ($EmployeeCoverage.priorCarrierEffectiveDate)</t>
  </si>
  <si>
    <t>= isEmpty (priorCarrierEffectiveDate)</t>
  </si>
  <si>
    <t>= AgeCalculated (censusEmployee, useSavedAge, $EmployeeDOB, $EmployeeAge, rateEffectiveDate, priorCarrierEffectiveDate)</t>
  </si>
  <si>
    <t>=(R13AnnualPremium ( age, tobaccoClass,acceleratedPct, restorationPct)</t>
  </si>
  <si>
    <t>= R13AnnualPremium ( age, tobaccoClass,acceleratedPct, restorationPct)</t>
  </si>
  <si>
    <t>= ($RiderVersion == "MonthlyChronicIll2022" and restorationOfBenefit == true)? round($Rider13Calculation,2) + $EOBCalc : $EOBCalc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</si>
</sst>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Franklin Gothic Book"/>
      <family val="2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 rgb="000000"/>
      <name val="Franklin Gothic Book"/>
      <family val="2"/>
    </font>
    <font>
      <sz val="11"/>
      <color theme="0" tint="-0.499984740745262" rgb="FFFFFF"/>
      <name val="Franklin Gothic Book"/>
      <family val="2"/>
    </font>
    <font>
      <b/>
      <sz val="11"/>
      <color theme="1" rgb="000000"/>
      <name val="Franklin Gothic Book"/>
      <family val="2"/>
    </font>
    <font>
      <i/>
      <sz val="11"/>
      <color theme="0" tint="-0.499984740745262"/>
      <name val="Franklin Gothic Book"/>
      <family val="2"/>
    </font>
    <font>
      <sz val="9"/>
      <color theme="1" rgb="000000"/>
      <name val="Franklin Gothic Book"/>
      <family val="2"/>
    </font>
    <font>
      <b/>
      <sz val="9"/>
      <color theme="1" rgb="000000"/>
      <name val="Franklin Gothic Book"/>
      <family val="2"/>
    </font>
    <font>
      <b/>
      <sz val="9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b/>
      <sz val="11"/>
      <name val="Franklin Gothic Book"/>
      <family val="2"/>
    </font>
    <font>
      <sz val="11"/>
      <color rgb="FFFF0000"/>
      <name val="Franklin Gothic Book"/>
      <family val="2"/>
    </font>
    <font>
      <sz val="11"/>
      <color rgb="FF000000"/>
      <name val="Franklin Gothic Book"/>
      <family val="2"/>
    </font>
    <font>
      <b/>
      <sz val="11"/>
      <color theme="0" tint="-0.499984740745262"/>
      <name val="Franklin Gothic Book"/>
      <family val="2"/>
    </font>
    <font>
      <sz val="11"/>
      <color theme="0" tint="-0.499984740745262"/>
      <name val="Calibri"/>
      <family val="2"/>
      <scheme val="minor"/>
    </font>
    <font>
      <sz val="11"/>
      <color theme="1" tint="0.499984740745262"/>
      <name val="Franklin Gothic Book"/>
      <family val="2"/>
    </font>
    <font>
      <b/>
      <sz val="11"/>
      <color theme="0" rgb="FFFFFF"/>
      <name val="Franklin Gothic Book"/>
      <family val="2"/>
    </font>
    <font>
      <b/>
      <sz val="11"/>
      <color theme="0"/>
      <name val="Franklin Gothic Book"/>
      <family val="2"/>
      <charset val="186"/>
    </font>
    <font>
      <sz val="11"/>
      <name val="Calibri"/>
      <family val="2"/>
      <scheme val="minor"/>
    </font>
    <font>
      <sz val="10"/>
      <color theme="1" rgb="000000"/>
      <name val="Franklin Gothic Book"/>
      <family val="2"/>
    </font>
    <font>
      <b/>
      <sz val="10"/>
      <color theme="1"/>
      <name val="Franklin Gothic Book"/>
      <family val="2"/>
    </font>
  </fonts>
  <fills count="28">
    <fill>
      <patternFill patternType="none"/>
    </fill>
    <fill>
      <patternFill patternType="gray125"/>
    </fill>
    <fill>
      <patternFill patternType="solid">
        <fgColor theme="0" rgb="FFFFFF"/>
        <bgColor indexed="64"/>
      </patternFill>
    </fill>
    <fill>
      <patternFill patternType="solid">
        <fgColor theme="4" tint="0.59999389629810485" rgb="5B9BD5"/>
        <bgColor indexed="64"/>
      </patternFill>
    </fill>
    <fill>
      <patternFill patternType="solid">
        <fgColor theme="4" tint="0.79998168889431442" rgb="5B9BD5"/>
        <bgColor indexed="64"/>
      </patternFill>
    </fill>
    <fill>
      <patternFill patternType="solid">
        <fgColor theme="2" tint="-9.9978637043366805E-2" rgb="E7E6E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 rgb="FFFFFF"/>
        <bgColor indexed="64"/>
      </patternFill>
    </fill>
    <fill>
      <patternFill patternType="solid">
        <fgColor theme="0" tint="-4.9989318521683403E-2" rgb="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</patternFill>
    </fill>
    <fill>
      <patternFill patternType="solid">
        <fgColor rgb="FFCCCCCC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theme="0" tint="-0.34998626667073579" rgb="FF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none">
        <bgColor indexed="64"/>
      </patternFill>
    </fill>
    <fill>
      <patternFill patternType="solid">
        <fgColor rgb="FFE5F5FF"/>
        <bgColor indexed="64"/>
      </patternFill>
    </fill>
    <fill>
      <patternFill patternType="solid">
        <fgColor theme="0" tint="-0.14999847407452621" rgb="FFFFFF"/>
        <bgColor indexed="64"/>
      </patternFill>
    </fill>
    <fill>
      <patternFill patternType="solid">
        <fgColor rgb="FFFFFFAA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AA"/>
        <bgColor indexed="64"/>
      </patternFill>
    </fill>
    <fill>
      <patternFill patternType="none">
        <bgColor indexed="64"/>
      </patternFill>
    </fill>
    <fill>
      <patternFill patternType="solid">
        <fgColor rgb="FFFFBBFF"/>
      </patternFill>
    </fill>
    <fill>
      <patternFill patternType="solid">
        <fgColor rgb="FFFF99FF"/>
        <bgColor indexed="64"/>
      </patternFill>
    </fill>
    <fill>
      <patternFill patternType="solid">
        <fgColor rgb="FFE4BE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 xfId="0"/>
    <xf numFmtId="0" fontId="1" fillId="0" borderId="0" xfId="1"/>
    <xf numFmtId="9" fontId="3" fillId="0" borderId="0" applyFont="0" applyFill="0" applyBorder="0" applyAlignment="0" applyProtection="0" xfId="2"/>
    <xf numFmtId="0" fontId="3" fillId="0" borderId="0" xfId="3"/>
    <xf numFmtId="0" fontId="0" fillId="0" borderId="0" xfId="4"/>
  </cellStyleXfs>
  <cellXfs count="361">
    <xf numFmtId="0" fontId="0" fillId="0" borderId="0" xfId="0"/>
    <xf numFmtId="0" fontId="4" fillId="0" borderId="0" xfId="0" applyFont="1"/>
    <xf numFmtId="0" fontId="4" fillId="7" borderId="6" xfId="0" applyFont="1" applyFill="1" applyBorder="1" applyAlignment="1">
      <alignment vertical="center"/>
    </xf>
    <xf numFmtId="0" fontId="4" fillId="7" borderId="0" xfId="0" applyFont="1" applyFill="1" applyAlignment="1">
      <alignment horizontal="left"/>
    </xf>
    <xf numFmtId="0" fontId="5" fillId="0" borderId="7" xfId="4" applyFont="1" applyBorder="1"/>
    <xf numFmtId="0" fontId="7" fillId="0" borderId="7" xfId="4" applyFont="1" applyBorder="1"/>
    <xf numFmtId="0" fontId="5" fillId="0" borderId="7" xfId="4" quotePrefix="1" applyFont="1" applyBorder="1"/>
    <xf numFmtId="0" fontId="7" fillId="0" borderId="2" xfId="4" applyFont="1" applyBorder="1"/>
    <xf numFmtId="0" fontId="5" fillId="0" borderId="2" xfId="4" quotePrefix="1" applyFont="1" applyBorder="1"/>
    <xf numFmtId="0" fontId="8" fillId="0" borderId="7" xfId="4" applyFont="1" applyBorder="1"/>
    <xf numFmtId="0" fontId="5" fillId="0" borderId="2" xfId="4" quotePrefix="1" applyFont="1" applyBorder="1" applyAlignment="1">
      <alignment wrapText="1"/>
    </xf>
    <xf numFmtId="0" fontId="7" fillId="0" borderId="2" xfId="4" applyFont="1" applyBorder="1" applyAlignment="1">
      <alignment vertical="center"/>
    </xf>
    <xf numFmtId="0" fontId="5" fillId="0" borderId="7" xfId="4" quotePrefix="1" applyFont="1" applyBorder="1" applyAlignment="1">
      <alignment wrapText="1"/>
    </xf>
    <xf numFmtId="0" fontId="5" fillId="0" borderId="9" xfId="4" applyFont="1" applyBorder="1"/>
    <xf numFmtId="0" fontId="5" fillId="0" borderId="2" xfId="4" applyFont="1" applyBorder="1"/>
    <xf numFmtId="0" fontId="5" fillId="0" borderId="2" xfId="4" quotePrefix="1" applyFont="1" applyBorder="1" applyAlignment="1">
      <alignment horizontal="center" vertical="center"/>
    </xf>
    <xf numFmtId="0" fontId="5" fillId="0" borderId="3" xfId="4" applyFont="1" applyBorder="1"/>
    <xf numFmtId="0" fontId="5" fillId="0" borderId="3" xfId="4" quotePrefix="1" applyFont="1" applyBorder="1" applyAlignment="1">
      <alignment wrapText="1"/>
    </xf>
    <xf numFmtId="0" fontId="7" fillId="18" borderId="11" xfId="0" applyFont="1" applyFill="1" applyBorder="1"/>
    <xf numFmtId="0" fontId="5" fillId="18" borderId="11" xfId="0" applyFont="1" applyFill="1" applyBorder="1"/>
    <xf numFmtId="0" fontId="5" fillId="18" borderId="3" xfId="0" applyFont="1" applyFill="1" applyBorder="1"/>
    <xf numFmtId="0" fontId="5" fillId="0" borderId="7" xfId="4" applyFont="1" applyBorder="1" applyAlignment="1">
      <alignment wrapText="1"/>
    </xf>
    <xf numFmtId="0" fontId="5" fillId="0" borderId="7" xfId="4" quotePrefix="1" applyFont="1" applyBorder="1" applyAlignment="1">
      <alignment vertical="center" wrapText="1"/>
    </xf>
    <xf numFmtId="0" fontId="5" fillId="0" borderId="2" xfId="4" applyFont="1" applyBorder="1" applyAlignment="1">
      <alignment vertical="center"/>
    </xf>
    <xf numFmtId="0" fontId="5" fillId="18" borderId="7" xfId="4" quotePrefix="1" applyFont="1" applyFill="1" applyBorder="1" applyAlignment="1">
      <alignment wrapText="1"/>
    </xf>
    <xf numFmtId="0" fontId="7" fillId="18" borderId="2" xfId="4" applyFont="1" applyFill="1" applyBorder="1"/>
    <xf numFmtId="0" fontId="5" fillId="18" borderId="2" xfId="4" quotePrefix="1" applyFont="1" applyFill="1" applyBorder="1" applyAlignment="1">
      <alignment wrapText="1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3" applyFont="1" applyAlignme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9" fillId="0" borderId="0" xfId="3" quotePrefix="1" applyFont="1" applyAlignment="1">
      <alignment horizontal="left" vertical="center"/>
    </xf>
    <xf numFmtId="0" fontId="9" fillId="0" borderId="0" xfId="3" applyFont="1" applyAlignment="1">
      <alignment horizontal="left" vertical="center"/>
    </xf>
    <xf numFmtId="0" fontId="9" fillId="0" borderId="2" xfId="3" quotePrefix="1" applyFont="1" applyBorder="1" applyAlignment="1">
      <alignment horizontal="left" vertical="center"/>
    </xf>
    <xf numFmtId="0" fontId="5" fillId="0" borderId="0" xfId="0" quotePrefix="1" applyFont="1" applyAlignment="1">
      <alignment vertical="center"/>
    </xf>
    <xf numFmtId="0" fontId="9" fillId="0" borderId="1" xfId="3" quotePrefix="1" applyFont="1" applyBorder="1" applyAlignment="1">
      <alignment horizontal="left" vertical="center"/>
    </xf>
    <xf numFmtId="0" fontId="10" fillId="4" borderId="0" xfId="3" applyFont="1" applyFill="1" applyAlignment="1">
      <alignment horizontal="center" vertical="center"/>
    </xf>
    <xf numFmtId="0" fontId="12" fillId="0" borderId="0" xfId="0" quotePrefix="1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0" fontId="9" fillId="0" borderId="7" xfId="3" quotePrefix="1" applyFont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0" fontId="9" fillId="0" borderId="2" xfId="3" applyFont="1" applyBorder="1" applyAlignment="1">
      <alignment horizontal="left" vertical="center"/>
    </xf>
    <xf numFmtId="0" fontId="14" fillId="4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3" fillId="0" borderId="0" xfId="0" quotePrefix="1" applyFont="1" applyAlignment="1">
      <alignment vertical="center" wrapText="1"/>
    </xf>
    <xf numFmtId="0" fontId="5" fillId="0" borderId="2" xfId="0" applyFont="1" applyBorder="1" applyAlignment="1">
      <alignment vertical="center"/>
    </xf>
    <xf numFmtId="0" fontId="13" fillId="0" borderId="2" xfId="0" quotePrefix="1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7" fillId="5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5" fillId="4" borderId="0" xfId="0" quotePrefix="1" applyFont="1" applyFill="1" applyAlignment="1">
      <alignment vertical="center" wrapText="1"/>
    </xf>
    <xf numFmtId="0" fontId="7" fillId="3" borderId="3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5" fillId="10" borderId="0" xfId="0" quotePrefix="1" applyFont="1" applyFill="1" applyAlignment="1">
      <alignment vertical="center" wrapText="1"/>
    </xf>
    <xf numFmtId="0" fontId="14" fillId="5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3" fillId="0" borderId="0" xfId="0" quotePrefix="1" applyFont="1" applyAlignment="1">
      <alignment vertical="center"/>
    </xf>
    <xf numFmtId="0" fontId="14" fillId="10" borderId="0" xfId="0" quotePrefix="1" applyFont="1" applyFill="1" applyAlignment="1">
      <alignment vertical="center" wrapText="1"/>
    </xf>
    <xf numFmtId="0" fontId="14" fillId="2" borderId="0" xfId="0" applyFont="1" applyFill="1" applyAlignment="1">
      <alignment vertical="center"/>
    </xf>
    <xf numFmtId="0" fontId="14" fillId="16" borderId="2" xfId="0" applyFont="1" applyFill="1" applyBorder="1" applyAlignment="1">
      <alignment vertical="center"/>
    </xf>
    <xf numFmtId="0" fontId="5" fillId="16" borderId="0" xfId="0" quotePrefix="1" applyFont="1" applyFill="1" applyAlignment="1">
      <alignment vertical="center" wrapText="1"/>
    </xf>
    <xf numFmtId="0" fontId="13" fillId="4" borderId="0" xfId="0" quotePrefix="1" applyFont="1" applyFill="1" applyAlignment="1">
      <alignment vertical="center" wrapText="1"/>
    </xf>
    <xf numFmtId="0" fontId="14" fillId="0" borderId="0" xfId="0" applyFont="1" applyAlignment="1">
      <alignment vertical="center"/>
    </xf>
    <xf numFmtId="0" fontId="13" fillId="19" borderId="0" xfId="0" quotePrefix="1" applyFont="1" applyFill="1" applyAlignment="1">
      <alignment vertical="center" wrapText="1"/>
    </xf>
    <xf numFmtId="0" fontId="7" fillId="16" borderId="10" xfId="0" applyFont="1" applyFill="1" applyBorder="1" applyAlignment="1">
      <alignment vertical="center" wrapText="1"/>
    </xf>
    <xf numFmtId="0" fontId="5" fillId="16" borderId="10" xfId="0" quotePrefix="1" applyFont="1" applyFill="1" applyBorder="1" applyAlignment="1">
      <alignment vertical="center" wrapText="1"/>
    </xf>
    <xf numFmtId="0" fontId="14" fillId="16" borderId="10" xfId="0" applyFont="1" applyFill="1" applyBorder="1" applyAlignment="1">
      <alignment vertical="center"/>
    </xf>
    <xf numFmtId="0" fontId="13" fillId="16" borderId="10" xfId="0" quotePrefix="1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0" fontId="13" fillId="4" borderId="0" xfId="0" quotePrefix="1" applyFont="1" applyFill="1" applyAlignment="1">
      <alignment vertical="center"/>
    </xf>
    <xf numFmtId="0" fontId="14" fillId="2" borderId="2" xfId="0" applyFont="1" applyFill="1" applyBorder="1" applyAlignment="1">
      <alignment vertical="center"/>
    </xf>
    <xf numFmtId="0" fontId="13" fillId="4" borderId="2" xfId="0" quotePrefix="1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vertical="center" wrapText="1"/>
    </xf>
    <xf numFmtId="0" fontId="13" fillId="4" borderId="3" xfId="0" quotePrefix="1" applyFont="1" applyFill="1" applyBorder="1" applyAlignment="1">
      <alignment vertical="center" wrapText="1"/>
    </xf>
    <xf numFmtId="0" fontId="14" fillId="10" borderId="0" xfId="0" applyFont="1" applyFill="1" applyAlignment="1">
      <alignment vertical="center"/>
    </xf>
    <xf numFmtId="0" fontId="14" fillId="16" borderId="0" xfId="0" applyFont="1" applyFill="1" applyAlignment="1">
      <alignment vertical="center"/>
    </xf>
    <xf numFmtId="0" fontId="13" fillId="10" borderId="0" xfId="0" quotePrefix="1" applyFont="1" applyFill="1" applyAlignment="1">
      <alignment vertical="center" wrapText="1"/>
    </xf>
    <xf numFmtId="0" fontId="5" fillId="19" borderId="0" xfId="0" quotePrefix="1" applyFont="1" applyFill="1" applyAlignment="1">
      <alignment vertical="center" wrapText="1"/>
    </xf>
    <xf numFmtId="0" fontId="14" fillId="2" borderId="7" xfId="0" applyFont="1" applyFill="1" applyBorder="1" applyAlignment="1">
      <alignment vertical="center"/>
    </xf>
    <xf numFmtId="0" fontId="5" fillId="4" borderId="7" xfId="0" quotePrefix="1" applyFont="1" applyFill="1" applyBorder="1" applyAlignment="1">
      <alignment vertical="center" wrapText="1"/>
    </xf>
    <xf numFmtId="0" fontId="5" fillId="4" borderId="0" xfId="0" quotePrefix="1" applyFont="1" applyFill="1" applyAlignment="1">
      <alignment vertical="center"/>
    </xf>
    <xf numFmtId="0" fontId="14" fillId="4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quotePrefix="1" applyFont="1" applyAlignment="1">
      <alignment horizontal="left" vertical="center" wrapText="1"/>
    </xf>
    <xf numFmtId="0" fontId="7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0" borderId="2" xfId="0" quotePrefix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10" fontId="5" fillId="0" borderId="0" xfId="2" applyNumberFormat="1" applyFont="1" applyFill="1" applyAlignment="1" applyProtection="1">
      <alignment horizontal="center" vertical="center"/>
    </xf>
    <xf numFmtId="0" fontId="5" fillId="0" borderId="2" xfId="0" applyFont="1" applyBorder="1" applyAlignment="1">
      <alignment horizontal="left" vertical="center"/>
    </xf>
    <xf numFmtId="10" fontId="5" fillId="0" borderId="2" xfId="2" applyNumberFormat="1" applyFont="1" applyFill="1" applyBorder="1" applyAlignment="1" applyProtection="1">
      <alignment horizontal="center" vertical="center"/>
    </xf>
    <xf numFmtId="0" fontId="5" fillId="0" borderId="0" xfId="0" applyFont="1"/>
    <xf numFmtId="38" fontId="16" fillId="0" borderId="0" xfId="0" applyNumberFormat="1" applyFont="1" applyAlignment="1">
      <alignment horizontal="center" vertical="center"/>
    </xf>
    <xf numFmtId="38" fontId="16" fillId="0" borderId="2" xfId="0" applyNumberFormat="1" applyFont="1" applyBorder="1" applyAlignment="1">
      <alignment horizontal="center" vertical="center"/>
    </xf>
    <xf numFmtId="38" fontId="16" fillId="0" borderId="3" xfId="0" applyNumberFormat="1" applyFont="1" applyBorder="1" applyAlignment="1">
      <alignment horizontal="center" vertical="center"/>
    </xf>
    <xf numFmtId="38" fontId="16" fillId="0" borderId="7" xfId="0" applyNumberFormat="1" applyFont="1" applyBorder="1" applyAlignment="1">
      <alignment horizontal="center" vertical="center"/>
    </xf>
    <xf numFmtId="0" fontId="13" fillId="2" borderId="2" xfId="0" applyFont="1" applyFill="1" applyBorder="1" applyAlignment="1">
      <alignment vertical="center"/>
    </xf>
    <xf numFmtId="0" fontId="5" fillId="4" borderId="2" xfId="0" quotePrefix="1" applyFont="1" applyFill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4" borderId="0" xfId="0" quotePrefix="1" applyFont="1" applyFill="1" applyAlignment="1">
      <alignment horizontal="left" vertical="center"/>
    </xf>
    <xf numFmtId="0" fontId="14" fillId="5" borderId="0" xfId="0" quotePrefix="1" applyFont="1" applyFill="1" applyAlignment="1">
      <alignment vertical="center" wrapText="1"/>
    </xf>
    <xf numFmtId="0" fontId="5" fillId="4" borderId="2" xfId="0" quotePrefix="1" applyFont="1" applyFill="1" applyBorder="1" applyAlignment="1">
      <alignment vertical="center" wrapText="1"/>
    </xf>
    <xf numFmtId="0" fontId="5" fillId="16" borderId="2" xfId="0" quotePrefix="1" applyFont="1" applyFill="1" applyBorder="1" applyAlignment="1">
      <alignment vertical="center" wrapText="1"/>
    </xf>
    <xf numFmtId="0" fontId="7" fillId="5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0" fontId="5" fillId="4" borderId="7" xfId="0" quotePrefix="1" applyFont="1" applyFill="1" applyBorder="1" applyAlignment="1">
      <alignment horizontal="left" vertical="center"/>
    </xf>
    <xf numFmtId="0" fontId="14" fillId="12" borderId="0" xfId="0" applyFont="1" applyFill="1" applyAlignment="1">
      <alignment vertical="center"/>
    </xf>
    <xf numFmtId="0" fontId="5" fillId="12" borderId="0" xfId="0" quotePrefix="1" applyFont="1" applyFill="1" applyAlignment="1">
      <alignment vertical="center" wrapText="1"/>
    </xf>
    <xf numFmtId="0" fontId="13" fillId="16" borderId="0" xfId="0" quotePrefix="1" applyFont="1" applyFill="1" applyAlignment="1">
      <alignment vertical="center"/>
    </xf>
    <xf numFmtId="0" fontId="14" fillId="10" borderId="2" xfId="0" applyFont="1" applyFill="1" applyBorder="1" applyAlignment="1">
      <alignment vertical="center"/>
    </xf>
    <xf numFmtId="0" fontId="13" fillId="16" borderId="2" xfId="0" quotePrefix="1" applyFont="1" applyFill="1" applyBorder="1" applyAlignment="1">
      <alignment vertical="center"/>
    </xf>
    <xf numFmtId="0" fontId="13" fillId="19" borderId="0" xfId="0" quotePrefix="1" applyFont="1" applyFill="1" applyAlignment="1">
      <alignment vertical="center"/>
    </xf>
    <xf numFmtId="0" fontId="5" fillId="0" borderId="0" xfId="0" quotePrefix="1" applyFont="1" applyAlignment="1">
      <alignment vertical="center" wrapText="1"/>
    </xf>
    <xf numFmtId="0" fontId="5" fillId="4" borderId="0" xfId="0" applyFont="1" applyFill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5" fillId="0" borderId="2" xfId="0" quotePrefix="1" applyFont="1" applyBorder="1" applyAlignment="1">
      <alignment horizontal="left" vertical="center"/>
    </xf>
    <xf numFmtId="0" fontId="5" fillId="0" borderId="4" xfId="0" quotePrefix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7" xfId="0" quotePrefix="1" applyFont="1" applyBorder="1" applyAlignment="1">
      <alignment vertical="center"/>
    </xf>
    <xf numFmtId="0" fontId="5" fillId="0" borderId="7" xfId="0" quotePrefix="1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11" borderId="0" xfId="0" applyFont="1" applyFill="1" applyAlignment="1">
      <alignment horizontal="left" vertical="center" wrapText="1"/>
    </xf>
    <xf numFmtId="0" fontId="13" fillId="11" borderId="0" xfId="0" quotePrefix="1" applyFont="1" applyFill="1" applyAlignment="1">
      <alignment horizontal="left" vertical="center" wrapText="1"/>
    </xf>
    <xf numFmtId="0" fontId="13" fillId="0" borderId="0" xfId="0" quotePrefix="1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14" fillId="11" borderId="2" xfId="0" applyFont="1" applyFill="1" applyBorder="1" applyAlignment="1">
      <alignment horizontal="left" vertical="center" wrapText="1"/>
    </xf>
    <xf numFmtId="0" fontId="5" fillId="11" borderId="2" xfId="0" quotePrefix="1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quotePrefix="1" applyFont="1" applyBorder="1" applyAlignment="1">
      <alignment horizontal="left" vertical="center" wrapText="1"/>
    </xf>
    <xf numFmtId="0" fontId="7" fillId="13" borderId="3" xfId="0" applyFont="1" applyFill="1" applyBorder="1" applyAlignment="1">
      <alignment horizontal="left" vertical="center" wrapText="1"/>
    </xf>
    <xf numFmtId="0" fontId="5" fillId="10" borderId="0" xfId="0" applyFont="1" applyFill="1" applyAlignment="1">
      <alignment horizontal="left" vertical="center" wrapText="1"/>
    </xf>
    <xf numFmtId="0" fontId="5" fillId="11" borderId="0" xfId="0" quotePrefix="1" applyFont="1" applyFill="1" applyAlignment="1">
      <alignment horizontal="left" vertical="center" wrapText="1"/>
    </xf>
    <xf numFmtId="0" fontId="14" fillId="11" borderId="7" xfId="0" applyFont="1" applyFill="1" applyBorder="1" applyAlignment="1">
      <alignment horizontal="left" vertical="center" wrapText="1"/>
    </xf>
    <xf numFmtId="0" fontId="5" fillId="11" borderId="7" xfId="0" quotePrefix="1" applyFont="1" applyFill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5" fillId="0" borderId="7" xfId="0" quotePrefix="1" applyFont="1" applyBorder="1" applyAlignment="1">
      <alignment horizontal="left" vertical="center" wrapText="1"/>
    </xf>
    <xf numFmtId="0" fontId="5" fillId="0" borderId="0" xfId="0" quotePrefix="1" applyFont="1"/>
    <xf numFmtId="0" fontId="5" fillId="0" borderId="0" xfId="1" quotePrefix="1" applyFont="1" applyAlignment="1">
      <alignment wrapText="1"/>
    </xf>
    <xf numFmtId="0" fontId="19" fillId="0" borderId="0" xfId="1" applyFont="1" applyAlignment="1">
      <alignment horizontal="center" wrapText="1"/>
    </xf>
    <xf numFmtId="0" fontId="7" fillId="5" borderId="0" xfId="1" applyFont="1" applyFill="1" applyAlignment="1">
      <alignment horizontal="center"/>
    </xf>
    <xf numFmtId="0" fontId="7" fillId="3" borderId="0" xfId="1" applyFont="1" applyFill="1" applyAlignment="1">
      <alignment horizontal="center" wrapText="1"/>
    </xf>
    <xf numFmtId="0" fontId="7" fillId="0" borderId="0" xfId="1" applyFont="1" applyAlignment="1">
      <alignment horizontal="center" wrapText="1"/>
    </xf>
    <xf numFmtId="0" fontId="5" fillId="0" borderId="3" xfId="0" applyFont="1" applyBorder="1" applyAlignment="1">
      <alignment horizontal="left" vertical="center"/>
    </xf>
    <xf numFmtId="0" fontId="5" fillId="4" borderId="3" xfId="1" quotePrefix="1" applyFont="1" applyFill="1" applyBorder="1" applyAlignment="1">
      <alignment wrapText="1"/>
    </xf>
    <xf numFmtId="0" fontId="7" fillId="0" borderId="2" xfId="0" applyFont="1" applyBorder="1" applyAlignment="1">
      <alignment horizontal="left" vertical="center"/>
    </xf>
    <xf numFmtId="0" fontId="5" fillId="4" borderId="2" xfId="1" quotePrefix="1" applyFont="1" applyFill="1" applyBorder="1" applyAlignment="1">
      <alignment wrapText="1"/>
    </xf>
    <xf numFmtId="0" fontId="5" fillId="0" borderId="0" xfId="0" applyFont="1" applyAlignment="1">
      <alignment horizontal="left"/>
    </xf>
    <xf numFmtId="0" fontId="5" fillId="9" borderId="3" xfId="0" applyFont="1" applyFill="1" applyBorder="1" applyAlignment="1">
      <alignment horizontal="left"/>
    </xf>
    <xf numFmtId="0" fontId="5" fillId="9" borderId="7" xfId="0" applyFont="1" applyFill="1" applyBorder="1" applyAlignment="1">
      <alignment horizontal="left"/>
    </xf>
    <xf numFmtId="0" fontId="5" fillId="4" borderId="7" xfId="1" quotePrefix="1" applyFont="1" applyFill="1" applyBorder="1" applyAlignment="1">
      <alignment wrapText="1"/>
    </xf>
    <xf numFmtId="0" fontId="13" fillId="0" borderId="0" xfId="0" applyFont="1" applyAlignment="1">
      <alignment horizontal="left"/>
    </xf>
    <xf numFmtId="0" fontId="5" fillId="8" borderId="1" xfId="0" applyFont="1" applyFill="1" applyBorder="1" applyAlignment="1">
      <alignment horizontal="center"/>
    </xf>
    <xf numFmtId="0" fontId="5" fillId="3" borderId="1" xfId="0" quotePrefix="1" applyFont="1" applyFill="1" applyBorder="1" applyAlignment="1">
      <alignment horizontal="center"/>
    </xf>
    <xf numFmtId="0" fontId="13" fillId="2" borderId="3" xfId="0" applyFont="1" applyFill="1" applyBorder="1" applyAlignment="1">
      <alignment horizontal="left" vertical="center"/>
    </xf>
    <xf numFmtId="0" fontId="5" fillId="4" borderId="0" xfId="0" quotePrefix="1" applyFont="1" applyFill="1"/>
    <xf numFmtId="0" fontId="13" fillId="2" borderId="0" xfId="0" applyFont="1" applyFill="1" applyAlignment="1">
      <alignment horizontal="left" vertical="center"/>
    </xf>
    <xf numFmtId="0" fontId="13" fillId="4" borderId="0" xfId="0" quotePrefix="1" applyFont="1" applyFill="1" applyAlignment="1">
      <alignment wrapText="1"/>
    </xf>
    <xf numFmtId="0" fontId="14" fillId="2" borderId="2" xfId="0" applyFont="1" applyFill="1" applyBorder="1" applyAlignment="1">
      <alignment horizontal="left" vertical="center"/>
    </xf>
    <xf numFmtId="0" fontId="5" fillId="4" borderId="0" xfId="0" quotePrefix="1" applyFont="1" applyFill="1" applyAlignment="1">
      <alignment horizontal="left"/>
    </xf>
    <xf numFmtId="0" fontId="13" fillId="2" borderId="2" xfId="0" applyFont="1" applyFill="1" applyBorder="1" applyAlignment="1">
      <alignment horizontal="left" vertical="center"/>
    </xf>
    <xf numFmtId="0" fontId="5" fillId="4" borderId="2" xfId="0" quotePrefix="1" applyFont="1" applyFill="1" applyBorder="1" applyAlignment="1">
      <alignment horizontal="left"/>
    </xf>
    <xf numFmtId="0" fontId="5" fillId="4" borderId="2" xfId="0" quotePrefix="1" applyFont="1" applyFill="1" applyBorder="1" applyAlignment="1">
      <alignment horizontal="left" vertical="center"/>
    </xf>
    <xf numFmtId="0" fontId="7" fillId="8" borderId="8" xfId="0" applyFont="1" applyFill="1" applyBorder="1" applyAlignment="1">
      <alignment horizontal="center"/>
    </xf>
    <xf numFmtId="0" fontId="7" fillId="3" borderId="8" xfId="0" quotePrefix="1" applyFont="1" applyFill="1" applyBorder="1" applyAlignment="1">
      <alignment horizontal="center"/>
    </xf>
    <xf numFmtId="0" fontId="13" fillId="2" borderId="7" xfId="0" applyFont="1" applyFill="1" applyBorder="1" applyAlignment="1">
      <alignment horizontal="left"/>
    </xf>
    <xf numFmtId="0" fontId="13" fillId="2" borderId="7" xfId="0" applyFont="1" applyFill="1" applyBorder="1" applyAlignment="1">
      <alignment horizontal="left" vertical="center"/>
    </xf>
    <xf numFmtId="0" fontId="7" fillId="0" borderId="2" xfId="0" applyFont="1" applyBorder="1"/>
    <xf numFmtId="0" fontId="5" fillId="4" borderId="0" xfId="0" quotePrefix="1" applyFont="1" applyFill="1" applyAlignment="1">
      <alignment wrapText="1"/>
    </xf>
    <xf numFmtId="0" fontId="7" fillId="8" borderId="1" xfId="0" applyFont="1" applyFill="1" applyBorder="1" applyAlignment="1">
      <alignment horizontal="center"/>
    </xf>
    <xf numFmtId="0" fontId="7" fillId="3" borderId="1" xfId="0" quotePrefix="1" applyFont="1" applyFill="1" applyBorder="1" applyAlignment="1">
      <alignment horizontal="center"/>
    </xf>
    <xf numFmtId="0" fontId="13" fillId="2" borderId="2" xfId="0" applyFont="1" applyFill="1" applyBorder="1" applyAlignment="1">
      <alignment horizontal="left"/>
    </xf>
    <xf numFmtId="0" fontId="5" fillId="4" borderId="7" xfId="0" quotePrefix="1" applyFont="1" applyFill="1" applyBorder="1" applyAlignment="1">
      <alignment horizontal="left" vertical="center" wrapText="1"/>
    </xf>
    <xf numFmtId="164" fontId="5" fillId="0" borderId="0" xfId="2" applyNumberFormat="1" applyFont="1" applyFill="1" applyBorder="1"/>
    <xf numFmtId="0" fontId="7" fillId="5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5" fillId="2" borderId="0" xfId="0" applyFont="1" applyFill="1"/>
    <xf numFmtId="0" fontId="5" fillId="4" borderId="2" xfId="0" quotePrefix="1" applyFont="1" applyFill="1" applyBorder="1"/>
    <xf numFmtId="164" fontId="5" fillId="0" borderId="7" xfId="2" applyNumberFormat="1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7" fillId="0" borderId="7" xfId="0" applyFont="1" applyBorder="1"/>
    <xf numFmtId="0" fontId="7" fillId="18" borderId="7" xfId="4" applyFont="1" applyFill="1" applyBorder="1"/>
    <xf numFmtId="0" fontId="20" fillId="14" borderId="3" xfId="4" applyFont="1" applyFill="1" applyBorder="1" applyAlignment="1">
      <alignment horizontal="center" vertical="center" wrapText="1"/>
    </xf>
    <xf numFmtId="0" fontId="20" fillId="15" borderId="3" xfId="4" applyFont="1" applyFill="1" applyBorder="1" applyAlignment="1">
      <alignment horizontal="center" vertical="center" wrapText="1"/>
    </xf>
    <xf numFmtId="0" fontId="7" fillId="0" borderId="7" xfId="4" applyFont="1" applyBorder="1" applyAlignment="1">
      <alignment horizontal="left" vertical="center" wrapText="1"/>
    </xf>
    <xf numFmtId="0" fontId="5" fillId="0" borderId="7" xfId="4" quotePrefix="1" applyFont="1" applyBorder="1" applyAlignment="1">
      <alignment horizontal="left" vertical="center" wrapText="1"/>
    </xf>
    <xf numFmtId="0" fontId="7" fillId="0" borderId="2" xfId="4" applyFont="1" applyBorder="1" applyAlignment="1">
      <alignment horizontal="left" vertical="center" wrapText="1"/>
    </xf>
    <xf numFmtId="0" fontId="5" fillId="0" borderId="2" xfId="4" quotePrefix="1" applyFont="1" applyBorder="1" applyAlignment="1">
      <alignment horizontal="left" vertical="center" wrapText="1"/>
    </xf>
    <xf numFmtId="0" fontId="13" fillId="0" borderId="7" xfId="4" quotePrefix="1" applyFont="1" applyBorder="1" applyAlignment="1">
      <alignment horizontal="left"/>
    </xf>
    <xf numFmtId="0" fontId="5" fillId="0" borderId="7" xfId="4" quotePrefix="1" applyFont="1" applyBorder="1" applyAlignment="1">
      <alignment horizontal="center"/>
    </xf>
    <xf numFmtId="0" fontId="22" fillId="0" borderId="0" xfId="0" quotePrefix="1" applyFont="1" applyAlignment="1">
      <alignment horizontal="left"/>
    </xf>
    <xf numFmtId="0" fontId="13" fillId="0" borderId="7" xfId="4" applyFont="1" applyBorder="1" applyAlignment="1">
      <alignment horizontal="left"/>
    </xf>
    <xf numFmtId="0" fontId="5" fillId="0" borderId="2" xfId="4" quotePrefix="1" applyFont="1" applyBorder="1" applyAlignment="1">
      <alignment horizontal="center"/>
    </xf>
    <xf numFmtId="0" fontId="7" fillId="0" borderId="2" xfId="4" quotePrefix="1" applyFont="1" applyBorder="1" applyAlignment="1">
      <alignment wrapText="1"/>
    </xf>
    <xf numFmtId="0" fontId="5" fillId="0" borderId="3" xfId="4" quotePrefix="1" applyFont="1" applyBorder="1"/>
    <xf numFmtId="0" fontId="14" fillId="0" borderId="7" xfId="4" applyFont="1" applyBorder="1" applyAlignment="1">
      <alignment horizontal="left"/>
    </xf>
    <xf numFmtId="0" fontId="14" fillId="0" borderId="2" xfId="4" applyFont="1" applyBorder="1" applyAlignment="1">
      <alignment horizontal="left"/>
    </xf>
    <xf numFmtId="0" fontId="5" fillId="9" borderId="7" xfId="4" quotePrefix="1" applyFont="1" applyFill="1" applyBorder="1"/>
    <xf numFmtId="0" fontId="5" fillId="9" borderId="7" xfId="4" applyFont="1" applyFill="1" applyBorder="1"/>
    <xf numFmtId="0" fontId="20" fillId="14" borderId="11" xfId="4" applyFont="1" applyFill="1" applyBorder="1" applyAlignment="1">
      <alignment horizontal="center" vertical="center" wrapText="1"/>
    </xf>
    <xf numFmtId="0" fontId="20" fillId="15" borderId="11" xfId="4" applyFont="1" applyFill="1" applyBorder="1" applyAlignment="1">
      <alignment horizontal="center" vertical="center" wrapText="1"/>
    </xf>
    <xf numFmtId="0" fontId="5" fillId="0" borderId="11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13" fillId="20" borderId="7" xfId="0" applyFont="1" applyFill="1" applyBorder="1" applyAlignment="1">
      <alignment horizontal="left"/>
    </xf>
    <xf numFmtId="0" fontId="5" fillId="20" borderId="7" xfId="0" quotePrefix="1" applyFont="1" applyFill="1" applyBorder="1" applyAlignment="1">
      <alignment horizontal="left" vertical="center"/>
    </xf>
    <xf numFmtId="0" fontId="5" fillId="20" borderId="0" xfId="0" applyFont="1" applyFill="1"/>
    <xf numFmtId="0" fontId="5" fillId="20" borderId="0" xfId="0" quotePrefix="1" applyFont="1" applyFill="1" applyAlignment="1">
      <alignment wrapText="1"/>
    </xf>
    <xf numFmtId="0" fontId="5" fillId="20" borderId="0" xfId="0" quotePrefix="1" applyFont="1" applyFill="1"/>
    <xf numFmtId="0" fontId="5" fillId="20" borderId="7" xfId="0" quotePrefix="1" applyFont="1" applyFill="1" applyBorder="1" applyAlignment="1">
      <alignment horizontal="left" vertical="center" wrapText="1"/>
    </xf>
    <xf numFmtId="0" fontId="7" fillId="4" borderId="7" xfId="0" quotePrefix="1" applyFont="1" applyFill="1" applyBorder="1" applyAlignment="1">
      <alignment horizontal="left" vertical="center"/>
    </xf>
    <xf numFmtId="0" fontId="7" fillId="20" borderId="2" xfId="0" applyFont="1" applyFill="1" applyBorder="1"/>
    <xf numFmtId="0" fontId="5" fillId="20" borderId="2" xfId="0" quotePrefix="1" applyFont="1" applyFill="1" applyBorder="1"/>
    <xf numFmtId="0" fontId="7" fillId="8" borderId="10" xfId="0" applyFont="1" applyFill="1" applyBorder="1" applyAlignment="1">
      <alignment horizontal="center"/>
    </xf>
    <xf numFmtId="0" fontId="7" fillId="3" borderId="10" xfId="0" quotePrefix="1" applyFont="1" applyFill="1" applyBorder="1" applyAlignment="1">
      <alignment horizontal="center"/>
    </xf>
    <xf numFmtId="0" fontId="23" fillId="0" borderId="0" xfId="3" applyFont="1" applyAlignment="1">
      <alignment horizontal="left"/>
    </xf>
    <xf numFmtId="0" fontId="23" fillId="0" borderId="0" xfId="3" quotePrefix="1" applyFont="1" applyAlignment="1">
      <alignment horizontal="left" vertical="center"/>
    </xf>
    <xf numFmtId="0" fontId="23" fillId="0" borderId="0" xfId="3" quotePrefix="1" applyFont="1" applyAlignment="1">
      <alignment horizontal="left"/>
    </xf>
    <xf numFmtId="0" fontId="23" fillId="0" borderId="2" xfId="3" quotePrefix="1" applyFont="1" applyBorder="1" applyAlignment="1">
      <alignment horizontal="left"/>
    </xf>
    <xf numFmtId="0" fontId="9" fillId="0" borderId="0" xfId="3" applyFont="1" applyAlignment="1">
      <alignment horizontal="left" vertical="center" wrapText="1"/>
    </xf>
    <xf numFmtId="0" fontId="13" fillId="21" borderId="0" xfId="0" quotePrefix="1" applyFont="1" applyFill="1" applyAlignment="1">
      <alignment horizontal="left" vertical="center" wrapText="1"/>
    </xf>
    <xf numFmtId="0" fontId="13" fillId="21" borderId="0" xfId="0" applyFont="1" applyFill="1" applyAlignment="1">
      <alignment horizontal="left" vertical="center" wrapText="1"/>
    </xf>
    <xf numFmtId="0" fontId="13" fillId="22" borderId="0" xfId="0" applyFont="1" applyFill="1" applyAlignment="1">
      <alignment horizontal="left" vertical="center"/>
    </xf>
    <xf numFmtId="0" fontId="5" fillId="22" borderId="0" xfId="0" quotePrefix="1" applyFont="1" applyFill="1" applyAlignment="1">
      <alignment wrapText="1"/>
    </xf>
    <xf numFmtId="0" fontId="14" fillId="2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7" fillId="20" borderId="0" xfId="0" applyFont="1" applyFill="1" applyAlignment="1">
      <alignment vertical="top"/>
    </xf>
    <xf numFmtId="0" fontId="13" fillId="2" borderId="11" xfId="0" applyFont="1" applyFill="1" applyBorder="1" applyAlignment="1">
      <alignment horizontal="left"/>
    </xf>
    <xf numFmtId="0" fontId="5" fillId="4" borderId="2" xfId="0" quotePrefix="1" applyFont="1" applyFill="1" applyBorder="1" applyAlignment="1">
      <alignment horizontal="left" vertical="center" wrapText="1"/>
    </xf>
    <xf numFmtId="0" fontId="14" fillId="0" borderId="7" xfId="0" applyFont="1" applyBorder="1" applyAlignment="1">
      <alignment horizontal="left"/>
    </xf>
    <xf numFmtId="0" fontId="5" fillId="4" borderId="11" xfId="0" quotePrefix="1" applyFont="1" applyFill="1" applyBorder="1" applyAlignment="1">
      <alignment horizontal="left" vertical="center"/>
    </xf>
    <xf numFmtId="0" fontId="13" fillId="0" borderId="7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5" fillId="4" borderId="2" xfId="0" quotePrefix="1" applyFont="1" applyFill="1" applyBorder="1" applyAlignment="1">
      <alignment wrapText="1"/>
    </xf>
    <xf numFmtId="0" fontId="7" fillId="8" borderId="11" xfId="0" applyFont="1" applyFill="1" applyBorder="1" applyAlignment="1">
      <alignment horizontal="center"/>
    </xf>
    <xf numFmtId="0" fontId="7" fillId="3" borderId="11" xfId="0" quotePrefix="1" applyFont="1" applyFill="1" applyBorder="1" applyAlignment="1">
      <alignment horizontal="center"/>
    </xf>
    <xf numFmtId="0" fontId="5" fillId="4" borderId="11" xfId="0" quotePrefix="1" applyFont="1" applyFill="1" applyBorder="1" applyAlignment="1">
      <alignment wrapText="1"/>
    </xf>
    <xf numFmtId="0" fontId="5" fillId="23" borderId="2" xfId="1" quotePrefix="1" applyFont="1" applyFill="1" applyBorder="1" applyAlignment="1">
      <alignment wrapText="1"/>
    </xf>
    <xf numFmtId="0" fontId="7" fillId="23" borderId="12" xfId="0" applyFont="1" applyFill="1" applyBorder="1" applyAlignment="1">
      <alignment horizontal="left"/>
    </xf>
    <xf numFmtId="0" fontId="5" fillId="21" borderId="0" xfId="0" quotePrefix="1" applyFont="1" applyFill="1" applyAlignment="1">
      <alignment horizontal="left" vertical="center" wrapText="1"/>
    </xf>
    <xf numFmtId="0" fontId="13" fillId="16" borderId="0" xfId="0" applyFont="1" applyFill="1" applyAlignment="1">
      <alignment vertical="center"/>
    </xf>
    <xf numFmtId="0" fontId="13" fillId="23" borderId="0" xfId="0" applyFont="1" applyFill="1" applyAlignment="1">
      <alignment vertical="center"/>
    </xf>
    <xf numFmtId="0" fontId="5" fillId="23" borderId="0" xfId="0" quotePrefix="1" applyFont="1" applyFill="1" applyAlignment="1">
      <alignment vertical="center" wrapText="1"/>
    </xf>
    <xf numFmtId="0" fontId="5" fillId="23" borderId="3" xfId="0" applyFont="1" applyFill="1" applyBorder="1" applyAlignment="1">
      <alignment horizontal="left"/>
    </xf>
    <xf numFmtId="0" fontId="5" fillId="24" borderId="13" xfId="0" applyFont="1" applyFill="1" applyBorder="1" applyAlignment="1">
      <alignment horizontal="left"/>
    </xf>
    <xf numFmtId="0" fontId="5" fillId="21" borderId="7" xfId="4" quotePrefix="1" applyFont="1" applyFill="1" applyBorder="1" applyAlignment="1">
      <alignment wrapText="1"/>
    </xf>
    <xf numFmtId="0" fontId="5" fillId="0" borderId="10" xfId="0" applyFont="1" applyBorder="1" applyAlignment="1">
      <alignment vertical="center"/>
    </xf>
    <xf numFmtId="0" fontId="5" fillId="0" borderId="10" xfId="0" quotePrefix="1" applyFont="1" applyBorder="1" applyAlignment="1">
      <alignment vertical="center"/>
    </xf>
    <xf numFmtId="0" fontId="5" fillId="12" borderId="2" xfId="0" quotePrefix="1" applyFont="1" applyFill="1" applyBorder="1" applyAlignment="1">
      <alignment wrapText="1"/>
    </xf>
    <xf numFmtId="0" fontId="14" fillId="12" borderId="2" xfId="0" applyFont="1" applyFill="1" applyBorder="1" applyAlignment="1">
      <alignment horizontal="left" vertical="center"/>
    </xf>
    <xf numFmtId="0" fontId="7" fillId="21" borderId="7" xfId="4" applyFont="1" applyFill="1" applyBorder="1"/>
    <xf numFmtId="0" fontId="5" fillId="21" borderId="7" xfId="4" quotePrefix="1" applyFont="1" applyFill="1" applyBorder="1"/>
    <xf numFmtId="0" fontId="5" fillId="23" borderId="7" xfId="4" quotePrefix="1" applyFont="1" applyFill="1" applyBorder="1"/>
    <xf numFmtId="0" fontId="5" fillId="9" borderId="13" xfId="0" applyFont="1" applyFill="1" applyBorder="1" applyAlignment="1">
      <alignment horizontal="left"/>
    </xf>
    <xf numFmtId="0" fontId="14" fillId="3" borderId="2" xfId="0" applyFont="1" applyFill="1" applyBorder="1" applyAlignment="1">
      <alignment horizontal="left" vertical="center"/>
    </xf>
    <xf numFmtId="0" fontId="5" fillId="3" borderId="2" xfId="0" quotePrefix="1" applyFont="1" applyFill="1" applyBorder="1" applyAlignment="1">
      <alignment vertical="center" wrapText="1"/>
    </xf>
    <xf numFmtId="0" fontId="5" fillId="9" borderId="0" xfId="0" quotePrefix="1" applyFont="1" applyFill="1"/>
    <xf numFmtId="0" fontId="5" fillId="9" borderId="0" xfId="0" quotePrefix="1" applyFont="1" applyFill="1" applyAlignment="1">
      <alignment wrapText="1"/>
    </xf>
    <xf numFmtId="0" fontId="5" fillId="9" borderId="0" xfId="0" applyFont="1" applyFill="1"/>
    <xf numFmtId="0" fontId="5" fillId="9" borderId="0" xfId="0" applyFont="1" applyFill="1" applyAlignment="1">
      <alignment vertical="top"/>
    </xf>
    <xf numFmtId="0" fontId="5" fillId="23" borderId="0" xfId="1" quotePrefix="1" applyFont="1" applyFill="1" applyAlignment="1">
      <alignment wrapText="1"/>
    </xf>
    <xf numFmtId="0" fontId="5" fillId="21" borderId="0" xfId="0" applyFont="1" applyFill="1" applyAlignment="1">
      <alignment horizontal="left" vertical="center"/>
    </xf>
    <xf numFmtId="0" fontId="14" fillId="21" borderId="0" xfId="0" applyFont="1" applyFill="1" applyAlignment="1">
      <alignment horizontal="left" vertical="center" wrapText="1"/>
    </xf>
    <xf numFmtId="0" fontId="13" fillId="23" borderId="0" xfId="0" quotePrefix="1" applyFont="1" applyFill="1" applyAlignment="1">
      <alignment vertical="center" wrapText="1"/>
    </xf>
    <xf numFmtId="0" fontId="5" fillId="10" borderId="3" xfId="0" quotePrefix="1" applyFont="1" applyFill="1" applyBorder="1" applyAlignment="1">
      <alignment horizontal="left" vertical="center" wrapText="1"/>
    </xf>
    <xf numFmtId="0" fontId="13" fillId="23" borderId="0" xfId="0" applyFont="1" applyFill="1" applyAlignment="1">
      <alignment horizontal="left" vertical="center"/>
    </xf>
    <xf numFmtId="0" fontId="13" fillId="23" borderId="0" xfId="0" quotePrefix="1" applyFont="1" applyFill="1" applyAlignment="1">
      <alignment wrapText="1"/>
    </xf>
    <xf numFmtId="0" fontId="5" fillId="23" borderId="0" xfId="0" quotePrefix="1" applyFont="1" applyFill="1" applyAlignment="1">
      <alignment wrapText="1"/>
    </xf>
    <xf numFmtId="0" fontId="5" fillId="25" borderId="7" xfId="4" quotePrefix="1" applyFont="1" applyFill="1" applyBorder="1"/>
    <xf numFmtId="0" fontId="5" fillId="21" borderId="2" xfId="0" applyFont="1" applyFill="1" applyBorder="1" applyAlignment="1">
      <alignment vertical="center"/>
    </xf>
    <xf numFmtId="0" fontId="5" fillId="24" borderId="7" xfId="0" applyFont="1" applyFill="1" applyBorder="1" applyAlignment="1">
      <alignment horizontal="left"/>
    </xf>
    <xf numFmtId="0" fontId="5" fillId="23" borderId="0" xfId="0" quotePrefix="1" applyFont="1" applyFill="1" applyAlignment="1">
      <alignment horizontal="left" vertical="center" wrapText="1"/>
    </xf>
    <xf numFmtId="0" fontId="5" fillId="0" borderId="13" xfId="0" applyFont="1" applyBorder="1" applyAlignment="1">
      <alignment vertical="center"/>
    </xf>
    <xf numFmtId="0" fontId="5" fillId="0" borderId="13" xfId="0" quotePrefix="1" applyFont="1" applyBorder="1" applyAlignment="1">
      <alignment vertical="center"/>
    </xf>
    <xf numFmtId="0" fontId="9" fillId="0" borderId="1" xfId="3" applyFont="1" applyBorder="1" applyAlignment="1">
      <alignment horizontal="left" vertical="center"/>
    </xf>
    <xf numFmtId="0" fontId="9" fillId="0" borderId="1" xfId="3" quotePrefix="1" applyFont="1" applyBorder="1" applyAlignment="1">
      <alignment horizontal="left" vertical="center"/>
    </xf>
    <xf numFmtId="0" fontId="23" fillId="0" borderId="10" xfId="3" quotePrefix="1" applyFont="1" applyBorder="1" applyAlignment="1">
      <alignment horizontal="center" vertical="center"/>
    </xf>
    <xf numFmtId="0" fontId="9" fillId="0" borderId="10" xfId="3" quotePrefix="1" applyFont="1" applyBorder="1" applyAlignment="1">
      <alignment horizontal="left" vertical="center"/>
    </xf>
    <xf numFmtId="0" fontId="14" fillId="5" borderId="0" xfId="0" applyFont="1" applyFill="1" applyAlignment="1">
      <alignment horizontal="center" vertical="center"/>
    </xf>
    <xf numFmtId="0" fontId="13" fillId="19" borderId="0" xfId="0" quotePrefix="1" applyFont="1" applyFill="1" applyAlignment="1">
      <alignment vertical="center" wrapText="1"/>
    </xf>
    <xf numFmtId="0" fontId="13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6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0" xfId="0" quotePrefix="1" applyFont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6" fillId="0" borderId="10" xfId="0" quotePrefix="1" applyFont="1" applyBorder="1" applyAlignment="1">
      <alignment horizontal="center" vertical="center" wrapText="1"/>
    </xf>
    <xf numFmtId="0" fontId="5" fillId="0" borderId="0" xfId="0" quotePrefix="1" applyFont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6" fillId="26" borderId="10" xfId="4" applyFont="1" applyFill="1" applyBorder="1" applyAlignment="1">
      <alignment horizontal="center" vertical="center" wrapText="1"/>
    </xf>
    <xf numFmtId="0" fontId="6" fillId="0" borderId="10" xfId="4" applyFont="1" applyBorder="1" applyAlignment="1">
      <alignment horizontal="center" vertical="center" wrapText="1"/>
    </xf>
    <xf numFmtId="0" fontId="5" fillId="0" borderId="7" xfId="4" applyFont="1" applyBorder="1"/>
    <xf numFmtId="0" fontId="0" fillId="0" borderId="7" xfId="0" applyBorder="1"/>
    <xf numFmtId="0" fontId="6" fillId="0" borderId="8" xfId="4" applyFont="1" applyBorder="1" applyAlignment="1">
      <alignment horizontal="center" vertical="center" wrapText="1"/>
    </xf>
    <xf numFmtId="0" fontId="5" fillId="0" borderId="7" xfId="4" quotePrefix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5" fillId="0" borderId="7" xfId="4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9" xfId="4" applyFont="1" applyBorder="1" applyAlignment="1">
      <alignment horizontal="center" vertical="center"/>
    </xf>
    <xf numFmtId="0" fontId="5" fillId="0" borderId="9" xfId="4" quotePrefix="1" applyFont="1" applyBorder="1" applyAlignment="1">
      <alignment horizontal="center" vertical="center"/>
    </xf>
    <xf numFmtId="0" fontId="3" fillId="0" borderId="0" xfId="0" applyFont="1"/>
    <xf numFmtId="0" fontId="3" fillId="0" borderId="7" xfId="0" applyFont="1" applyBorder="1"/>
    <xf numFmtId="0" fontId="5" fillId="0" borderId="8" xfId="4" applyFont="1" applyBorder="1" applyAlignment="1">
      <alignment horizontal="center" vertical="center" wrapText="1"/>
    </xf>
    <xf numFmtId="0" fontId="21" fillId="17" borderId="7" xfId="4" applyFont="1" applyFill="1" applyBorder="1" applyAlignment="1">
      <alignment horizontal="center"/>
    </xf>
    <xf numFmtId="0" fontId="22" fillId="0" borderId="0" xfId="0" quotePrefix="1" applyFont="1" applyAlignment="1">
      <alignment horizontal="left"/>
    </xf>
    <xf numFmtId="0" fontId="7" fillId="0" borderId="0" xfId="4" quotePrefix="1" applyFont="1" applyAlignment="1">
      <alignment wrapText="1"/>
    </xf>
    <xf numFmtId="0" fontId="6" fillId="0" borderId="0" xfId="0" applyFont="1" applyAlignment="1">
      <alignment vertical="center"/>
    </xf>
    <xf numFmtId="0" fontId="5" fillId="27" borderId="7" xfId="0" quotePrefix="1" applyFont="1" applyFill="true" applyBorder="1" applyAlignment="1">
      <alignment horizontal="left" vertical="center"/>
    </xf>
    <xf numFmtId="0" fontId="5" fillId="27" borderId="7" xfId="0" quotePrefix="1" applyFont="1" applyFill="true" applyBorder="1" applyAlignment="1">
      <alignment horizontal="left" vertical="center"/>
    </xf>
  </cellXfs>
  <cellStyles count="5">
    <cellStyle name="Normal" xfId="0" builtinId="0"/>
    <cellStyle name="Normal 2" xfId="1" xr:uid="{0B7AA4A4-3C4A-46E0-881D-F1356E84887B}"/>
    <cellStyle name="Percent" xfId="2" builtinId="5"/>
    <cellStyle name="Normal 3 2" xfId="3" xr:uid="{915F335D-D25A-468C-BC72-390D88CF3633}"/>
    <cellStyle name="Normal 3" xfId="4" xr:uid="{31A8DA4B-1CBB-4BB5-88C3-534C0690FC87}"/>
  </cellStyles>
  <dxfs count="0"/>
  <tableStyles count="0" defaultTableStyle="TableStyleMedium2" defaultPivotStyle="PivotStyleLight16"/>
  <colors>
    <mruColors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15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397147</xdr:colOff>
      <xdr:row>0</xdr:row>
      <xdr:rowOff>0</xdr:rowOff>
    </xdr:from>
    <xdr:to>
      <xdr:col>33</xdr:col>
      <xdr:colOff>171903</xdr:colOff>
      <xdr:row>13</xdr:row>
      <xdr:rowOff>62182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72D429-F8B9-48B6-8C4A-489FA67CD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0064" y="0"/>
          <a:ext cx="7013756" cy="3096262"/>
        </a:xfrm>
        <a:prstGeom prst="rect">
          <a:avLst/>
        </a:prstGeom>
      </xdr:spPr>
    </xdr:pic>
    <xdr:clientData/>
  </xdr:twoCellAnchor>
  <xdr:twoCellAnchor editAs="oneCell">
    <xdr:from>
      <xdr:col>21</xdr:col>
      <xdr:colOff>397147</xdr:colOff>
      <xdr:row>0</xdr:row>
      <xdr:rowOff>0</xdr:rowOff>
    </xdr:from>
    <xdr:to>
      <xdr:col>33</xdr:col>
      <xdr:colOff>171903</xdr:colOff>
      <xdr:row>6</xdr:row>
      <xdr:rowOff>63615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375A1DC-6125-4A6C-8E25-A5BE2E496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0064" y="0"/>
          <a:ext cx="7013756" cy="1566075"/>
        </a:xfrm>
        <a:prstGeom prst="rect">
          <a:avLst/>
        </a:prstGeom>
      </xdr:spPr>
    </xdr:pic>
    <xdr:clientData/>
  </xdr:twoCellAnchor>
  <xdr:twoCellAnchor editAs="oneCell">
    <xdr:from>
      <xdr:col>21</xdr:col>
      <xdr:colOff>397147</xdr:colOff>
      <xdr:row>0</xdr:row>
      <xdr:rowOff>0</xdr:rowOff>
    </xdr:from>
    <xdr:to>
      <xdr:col>33</xdr:col>
      <xdr:colOff>171903</xdr:colOff>
      <xdr:row>13</xdr:row>
      <xdr:rowOff>62182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62CF8E0-FC41-4E0E-94A1-47F08881D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0064" y="0"/>
          <a:ext cx="7013756" cy="3096262"/>
        </a:xfrm>
        <a:prstGeom prst="rect">
          <a:avLst/>
        </a:prstGeom>
      </xdr:spPr>
    </xdr:pic>
    <xdr:clientData/>
  </xdr:twoCellAnchor>
  <xdr:twoCellAnchor editAs="oneCell">
    <xdr:from>
      <xdr:col>21</xdr:col>
      <xdr:colOff>397147</xdr:colOff>
      <xdr:row>0</xdr:row>
      <xdr:rowOff>0</xdr:rowOff>
    </xdr:from>
    <xdr:to>
      <xdr:col>33</xdr:col>
      <xdr:colOff>171903</xdr:colOff>
      <xdr:row>6</xdr:row>
      <xdr:rowOff>63615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300034B-4BA9-4303-8542-DBF7C66D0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0064" y="0"/>
          <a:ext cx="7013756" cy="1566075"/>
        </a:xfrm>
        <a:prstGeom prst="rect">
          <a:avLst/>
        </a:prstGeom>
      </xdr:spPr>
    </xdr:pic>
    <xdr:clientData/>
  </xdr:twoCellAnchor>
  <xdr:twoCellAnchor editAs="oneCell">
    <xdr:from>
      <xdr:col>21</xdr:col>
      <xdr:colOff>400957</xdr:colOff>
      <xdr:row>10</xdr:row>
      <xdr:rowOff>0</xdr:rowOff>
    </xdr:from>
    <xdr:to>
      <xdr:col>33</xdr:col>
      <xdr:colOff>168093</xdr:colOff>
      <xdr:row>30</xdr:row>
      <xdr:rowOff>25987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273504A-5539-49B7-B7B5-2B549C2F2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3874" y="2211917"/>
          <a:ext cx="7006136" cy="4456220"/>
        </a:xfrm>
        <a:prstGeom prst="rect">
          <a:avLst/>
        </a:prstGeom>
      </xdr:spPr>
    </xdr:pic>
    <xdr:clientData/>
  </xdr:twoCellAnchor>
  <xdr:twoCellAnchor editAs="oneCell">
    <xdr:from>
      <xdr:col>21</xdr:col>
      <xdr:colOff>397147</xdr:colOff>
      <xdr:row>7</xdr:row>
      <xdr:rowOff>0</xdr:rowOff>
    </xdr:from>
    <xdr:to>
      <xdr:col>33</xdr:col>
      <xdr:colOff>171903</xdr:colOff>
      <xdr:row>24</xdr:row>
      <xdr:rowOff>60603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44DD008-A74B-43A7-926F-A766D15B4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0064" y="1337643"/>
          <a:ext cx="7013756" cy="4146715"/>
        </a:xfrm>
        <a:prstGeom prst="rect">
          <a:avLst/>
        </a:prstGeom>
      </xdr:spPr>
    </xdr:pic>
    <xdr:clientData/>
  </xdr:twoCellAnchor>
  <xdr:twoCellAnchor editAs="oneCell">
    <xdr:from>
      <xdr:col>21</xdr:col>
      <xdr:colOff>400957</xdr:colOff>
      <xdr:row>10</xdr:row>
      <xdr:rowOff>0</xdr:rowOff>
    </xdr:from>
    <xdr:to>
      <xdr:col>33</xdr:col>
      <xdr:colOff>168728</xdr:colOff>
      <xdr:row>23</xdr:row>
      <xdr:rowOff>31229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0496FAA-E670-4225-81CC-9055D912A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3874" y="2211917"/>
          <a:ext cx="7006771" cy="3145791"/>
        </a:xfrm>
        <a:prstGeom prst="rect">
          <a:avLst/>
        </a:prstGeom>
      </xdr:spPr>
    </xdr:pic>
    <xdr:clientData/>
  </xdr:twoCellAnchor>
  <xdr:twoCellAnchor editAs="oneCell">
    <xdr:from>
      <xdr:col>21</xdr:col>
      <xdr:colOff>400957</xdr:colOff>
      <xdr:row>10</xdr:row>
      <xdr:rowOff>0</xdr:rowOff>
    </xdr:from>
    <xdr:to>
      <xdr:col>33</xdr:col>
      <xdr:colOff>168728</xdr:colOff>
      <xdr:row>30</xdr:row>
      <xdr:rowOff>60229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34E864A-B93D-4706-8ED8-0A36FE0E8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3874" y="2211917"/>
          <a:ext cx="7006771" cy="4496177"/>
        </a:xfrm>
        <a:prstGeom prst="rect">
          <a:avLst/>
        </a:prstGeom>
      </xdr:spPr>
    </xdr:pic>
    <xdr:clientData/>
  </xdr:twoCellAnchor>
  <xdr:twoCellAnchor editAs="oneCell">
    <xdr:from>
      <xdr:col>21</xdr:col>
      <xdr:colOff>400957</xdr:colOff>
      <xdr:row>10</xdr:row>
      <xdr:rowOff>0</xdr:rowOff>
    </xdr:from>
    <xdr:to>
      <xdr:col>33</xdr:col>
      <xdr:colOff>168728</xdr:colOff>
      <xdr:row>22</xdr:row>
      <xdr:rowOff>582769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F13C170-62B3-4B8A-835D-F4F061305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3874" y="2211917"/>
          <a:ext cx="7006771" cy="3031702"/>
        </a:xfrm>
        <a:prstGeom prst="rect">
          <a:avLst/>
        </a:prstGeom>
      </xdr:spPr>
    </xdr:pic>
    <xdr:clientData/>
  </xdr:twoCellAnchor>
  <xdr:twoCellAnchor editAs="oneCell">
    <xdr:from>
      <xdr:col>21</xdr:col>
      <xdr:colOff>400957</xdr:colOff>
      <xdr:row>10</xdr:row>
      <xdr:rowOff>0</xdr:rowOff>
    </xdr:from>
    <xdr:to>
      <xdr:col>33</xdr:col>
      <xdr:colOff>168728</xdr:colOff>
      <xdr:row>22</xdr:row>
      <xdr:rowOff>415630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D42C757-CB34-408D-BE13-8275EB131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23874" y="2211917"/>
          <a:ext cx="7006771" cy="2879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C53C-A23E-4193-8390-7AF0F2821218}">
  <sheetPr>
    <tabColor rgb="FF92D050"/>
  </sheetPr>
  <dimension ref="B4:E57"/>
  <sheetViews>
    <sheetView zoomScale="85" zoomScaleNormal="85" workbookViewId="0">
      <selection activeCell="B14" sqref="B14"/>
    </sheetView>
  </sheetViews>
  <sheetFormatPr defaultColWidth="8.5703125" defaultRowHeight="15.75" x14ac:dyDescent="0.25"/>
  <cols>
    <col min="1" max="1" style="28" width="8.5703125" collapsed="true"/>
    <col min="2" max="2" customWidth="true" style="28" width="105.42578125" collapsed="true"/>
    <col min="3" max="3" customWidth="true" style="28" width="69.5703125" collapsed="true"/>
    <col min="4" max="16384" style="28" width="8.5703125" collapsed="true"/>
  </cols>
  <sheetData>
    <row r="4" spans="2:5" x14ac:dyDescent="0.25">
      <c r="B4" s="309" t="s">
        <v>1074</v>
      </c>
      <c r="C4" s="309"/>
      <c r="D4" s="27"/>
    </row>
    <row r="5" spans="2:5" x14ac:dyDescent="0.25">
      <c r="B5" s="29" t="s">
        <v>33</v>
      </c>
      <c r="C5" s="29" t="s">
        <v>47</v>
      </c>
      <c r="D5" s="27"/>
    </row>
    <row r="6" spans="2:5" x14ac:dyDescent="0.25">
      <c r="B6" s="29" t="s">
        <v>48</v>
      </c>
      <c r="C6" s="29"/>
      <c r="D6" s="27"/>
    </row>
    <row r="7" spans="2:5" x14ac:dyDescent="0.25">
      <c r="B7" s="29" t="s">
        <v>49</v>
      </c>
      <c r="C7" s="29"/>
      <c r="D7" s="27"/>
    </row>
    <row r="8" spans="2:5" x14ac:dyDescent="0.25">
      <c r="B8" s="30" t="s">
        <v>50</v>
      </c>
      <c r="C8" s="31" t="s">
        <v>51</v>
      </c>
      <c r="D8" s="27"/>
    </row>
    <row r="9" spans="2:5" x14ac:dyDescent="0.25">
      <c r="B9" s="32" t="s">
        <v>1075</v>
      </c>
      <c r="C9" s="33" t="str">
        <f>("Gender in employee census record should not be empty;")</f>
        <v>Gender in employee census record should not be empty;</v>
      </c>
      <c r="D9" s="27"/>
    </row>
    <row r="10" spans="2:5" x14ac:dyDescent="0.25">
      <c r="B10" s="32" t="s">
        <v>1005</v>
      </c>
      <c r="C10" s="33" t="str">
        <f>("Employee Census record should include Date of Birth or Actual Age if quoting actual age;")</f>
        <v>Employee Census record should include Date of Birth or Actual Age if quoting actual age;</v>
      </c>
      <c r="D10" s="27"/>
    </row>
    <row r="11" spans="2:5" x14ac:dyDescent="0.25">
      <c r="B11" s="32" t="s">
        <v>52</v>
      </c>
      <c r="C11" s="33" t="str">
        <f>("Class Number in employee census record should not be empty;")</f>
        <v>Class Number in employee census record should not be empty;</v>
      </c>
      <c r="D11" s="27"/>
    </row>
    <row r="12" spans="2:5" ht="25.5" x14ac:dyDescent="0.25">
      <c r="B12" s="32" t="s">
        <v>1000</v>
      </c>
      <c r="C12" s="253" t="str">
        <f>("Employee Census record should include Date of Birth and Prior Carrier Effective Date if quoting saved age;")</f>
        <v>Employee Census record should include Date of Birth and Prior Carrier Effective Date if quoting saved age;</v>
      </c>
      <c r="D12" s="27"/>
    </row>
    <row r="13" spans="2:5" x14ac:dyDescent="0.25">
      <c r="B13" s="40" t="s">
        <v>1303</v>
      </c>
      <c r="C13" s="41" t="str">
        <f>("Volume in employee census record should not be empty;")</f>
        <v>Volume in employee census record should not be empty;</v>
      </c>
      <c r="D13" s="27"/>
    </row>
    <row r="14" spans="2:5" x14ac:dyDescent="0.25">
      <c r="B14" s="34" t="s">
        <v>585</v>
      </c>
      <c r="C14" s="42" t="str">
        <f>("If Census Type is Eligible or Enrolled, census file should be attached to the quote;")</f>
        <v>If Census Type is Eligible or Enrolled, census file should be attached to the quote;</v>
      </c>
      <c r="D14" s="27"/>
      <c r="E14" s="35"/>
    </row>
    <row r="15" spans="2:5" x14ac:dyDescent="0.25">
      <c r="B15" s="40"/>
      <c r="C15" s="41"/>
      <c r="D15" s="27"/>
      <c r="E15" s="35"/>
    </row>
    <row r="16" spans="2:5" x14ac:dyDescent="0.25">
      <c r="B16" s="40"/>
      <c r="C16" s="41"/>
      <c r="D16" s="27"/>
      <c r="E16" s="35"/>
    </row>
    <row r="17" spans="2:5" x14ac:dyDescent="0.25">
      <c r="B17" s="27"/>
      <c r="C17" s="27"/>
      <c r="D17" s="27"/>
      <c r="E17" s="35"/>
    </row>
    <row r="18" spans="2:5" x14ac:dyDescent="0.25">
      <c r="B18" s="36" t="s">
        <v>898</v>
      </c>
      <c r="C18" s="33"/>
      <c r="D18" s="27"/>
    </row>
    <row r="19" spans="2:5" x14ac:dyDescent="0.25">
      <c r="B19" s="37" t="s">
        <v>50</v>
      </c>
      <c r="C19" s="27"/>
      <c r="D19" s="27"/>
    </row>
    <row r="20" spans="2:5" x14ac:dyDescent="0.25">
      <c r="B20" s="34" t="s">
        <v>53</v>
      </c>
      <c r="C20" s="27"/>
      <c r="D20" s="27"/>
    </row>
    <row r="21" spans="2:5" x14ac:dyDescent="0.25">
      <c r="B21" s="40"/>
      <c r="C21" s="27"/>
      <c r="D21" s="27"/>
    </row>
    <row r="22" spans="2:5" x14ac:dyDescent="0.25">
      <c r="B22" s="27"/>
      <c r="C22" s="27"/>
      <c r="D22" s="27"/>
    </row>
    <row r="23" spans="2:5" x14ac:dyDescent="0.25">
      <c r="B23" s="27"/>
      <c r="C23" s="27"/>
      <c r="D23" s="27"/>
    </row>
    <row r="24" spans="2:5" x14ac:dyDescent="0.25">
      <c r="B24" s="310" t="s">
        <v>1004</v>
      </c>
      <c r="C24" s="310"/>
      <c r="D24" s="27"/>
    </row>
    <row r="25" spans="2:5" x14ac:dyDescent="0.25">
      <c r="B25" s="30" t="s">
        <v>30</v>
      </c>
      <c r="C25" s="31" t="s">
        <v>5</v>
      </c>
      <c r="D25" s="27"/>
    </row>
    <row r="26" spans="2:5" x14ac:dyDescent="0.25">
      <c r="B26" s="32" t="s">
        <v>998</v>
      </c>
      <c r="C26" s="38" t="s">
        <v>999</v>
      </c>
      <c r="D26" s="27"/>
    </row>
    <row r="27" spans="2:5" x14ac:dyDescent="0.25">
      <c r="B27" s="32" t="s">
        <v>55</v>
      </c>
      <c r="C27" s="32" t="s">
        <v>56</v>
      </c>
      <c r="D27" s="27"/>
    </row>
    <row r="28" spans="2:5" x14ac:dyDescent="0.25">
      <c r="B28" s="32" t="s">
        <v>57</v>
      </c>
      <c r="C28" s="32" t="s">
        <v>58</v>
      </c>
      <c r="D28" s="27"/>
    </row>
    <row r="29" spans="2:5" x14ac:dyDescent="0.25">
      <c r="B29" s="34" t="s">
        <v>59</v>
      </c>
      <c r="C29" s="34" t="s">
        <v>1080</v>
      </c>
      <c r="D29" s="27"/>
    </row>
    <row r="30" spans="2:5" x14ac:dyDescent="0.25">
      <c r="B30" s="40"/>
      <c r="C30" s="40"/>
      <c r="D30" s="27"/>
    </row>
    <row r="31" spans="2:5" x14ac:dyDescent="0.25">
      <c r="B31" s="39"/>
      <c r="C31" s="39"/>
      <c r="D31" s="27"/>
    </row>
    <row r="33" spans="2:3" x14ac:dyDescent="0.25">
      <c r="B33" s="312" t="s">
        <v>1304</v>
      </c>
      <c r="C33" s="312"/>
    </row>
    <row r="34" spans="2:3" x14ac:dyDescent="0.25">
      <c r="B34" s="30" t="s">
        <v>30</v>
      </c>
      <c r="C34" s="31" t="s">
        <v>5</v>
      </c>
    </row>
    <row r="35" spans="2:3" x14ac:dyDescent="0.25">
      <c r="B35" s="32" t="s">
        <v>1272</v>
      </c>
      <c r="C35" s="38" t="s">
        <v>1301</v>
      </c>
    </row>
    <row r="36" spans="2:3" x14ac:dyDescent="0.25">
      <c r="B36" s="34" t="s">
        <v>1276</v>
      </c>
      <c r="C36" s="34" t="s">
        <v>1275</v>
      </c>
    </row>
    <row r="39" spans="2:3" x14ac:dyDescent="0.25">
      <c r="B39" s="36" t="s">
        <v>1274</v>
      </c>
    </row>
    <row r="40" spans="2:3" x14ac:dyDescent="0.25">
      <c r="B40" s="37" t="s">
        <v>50</v>
      </c>
    </row>
    <row r="41" spans="2:3" x14ac:dyDescent="0.25">
      <c r="B41" s="34" t="s">
        <v>82</v>
      </c>
    </row>
    <row r="45" spans="2:3" x14ac:dyDescent="0.25">
      <c r="B45" s="36" t="s">
        <v>899</v>
      </c>
    </row>
    <row r="46" spans="2:3" x14ac:dyDescent="0.25">
      <c r="B46" s="37" t="s">
        <v>50</v>
      </c>
    </row>
    <row r="47" spans="2:3" x14ac:dyDescent="0.25">
      <c r="B47" s="34" t="s">
        <v>997</v>
      </c>
    </row>
    <row r="51" spans="2:3" x14ac:dyDescent="0.25">
      <c r="B51" s="311" t="s">
        <v>1003</v>
      </c>
      <c r="C51" s="311"/>
    </row>
    <row r="52" spans="2:3" x14ac:dyDescent="0.25">
      <c r="B52" s="30" t="s">
        <v>30</v>
      </c>
      <c r="C52" s="31" t="s">
        <v>5</v>
      </c>
    </row>
    <row r="53" spans="2:3" x14ac:dyDescent="0.25">
      <c r="B53" s="249" t="s">
        <v>998</v>
      </c>
      <c r="C53" s="250" t="s">
        <v>999</v>
      </c>
    </row>
    <row r="54" spans="2:3" x14ac:dyDescent="0.25">
      <c r="B54" s="249" t="s">
        <v>1308</v>
      </c>
      <c r="C54" s="250" t="s">
        <v>1309</v>
      </c>
    </row>
    <row r="55" spans="2:3" x14ac:dyDescent="0.25">
      <c r="B55" s="251" t="s">
        <v>55</v>
      </c>
      <c r="C55" s="251" t="s">
        <v>1307</v>
      </c>
    </row>
    <row r="56" spans="2:3" x14ac:dyDescent="0.25">
      <c r="B56" s="251" t="s">
        <v>54</v>
      </c>
      <c r="C56" s="251" t="s">
        <v>1313</v>
      </c>
    </row>
    <row r="57">
      <c r="B57" t="s" s="252">
        <v>1001</v>
      </c>
      <c r="C57" t="s" s="252">
        <v>1002</v>
      </c>
    </row>
  </sheetData>
  <mergeCells count="4">
    <mergeCell ref="B4:C4"/>
    <mergeCell ref="B24:C24"/>
    <mergeCell ref="B51:C51"/>
    <mergeCell ref="B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7222-1F26-45A1-B0AF-C27E7D6F3244}">
  <dimension ref="B2:C60"/>
  <sheetViews>
    <sheetView zoomScale="85" zoomScaleNormal="85" workbookViewId="0">
      <selection activeCell="C25" sqref="C25"/>
    </sheetView>
  </sheetViews>
  <sheetFormatPr defaultColWidth="45.42578125" defaultRowHeight="15.75" x14ac:dyDescent="0.25"/>
  <cols>
    <col min="1" max="1" customWidth="true" style="28" width="13.5703125" collapsed="true"/>
    <col min="2" max="2" customWidth="true" style="28" width="40.42578125" collapsed="true"/>
    <col min="3" max="3" customWidth="true" style="28" width="140.85546875" collapsed="true"/>
    <col min="4" max="16384" style="28" width="45.42578125" collapsed="true"/>
  </cols>
  <sheetData>
    <row r="2" spans="2:3" x14ac:dyDescent="0.25">
      <c r="B2" s="318" t="s">
        <v>1200</v>
      </c>
      <c r="C2" s="318" t="s">
        <v>711</v>
      </c>
    </row>
    <row r="3" spans="2:3" x14ac:dyDescent="0.25">
      <c r="B3" s="56" t="s">
        <v>4</v>
      </c>
      <c r="C3" s="57" t="s">
        <v>5</v>
      </c>
    </row>
    <row r="4" spans="2:3" x14ac:dyDescent="0.25">
      <c r="B4" s="58" t="s">
        <v>41</v>
      </c>
      <c r="C4" s="51" t="s">
        <v>42</v>
      </c>
    </row>
    <row r="5" spans="2:3" x14ac:dyDescent="0.25">
      <c r="B5" s="58" t="s">
        <v>43</v>
      </c>
      <c r="C5" s="51" t="s">
        <v>1076</v>
      </c>
    </row>
    <row r="6" spans="2:3" x14ac:dyDescent="0.25">
      <c r="B6" s="59" t="s">
        <v>273</v>
      </c>
      <c r="C6" s="51" t="s">
        <v>44</v>
      </c>
    </row>
    <row r="7" spans="2:3" x14ac:dyDescent="0.25">
      <c r="B7" s="313" t="s">
        <v>8</v>
      </c>
      <c r="C7" s="317"/>
    </row>
    <row r="8" spans="2:3" x14ac:dyDescent="0.25">
      <c r="B8" s="48" t="s">
        <v>9</v>
      </c>
      <c r="C8" s="298" t="s">
        <v>1157</v>
      </c>
    </row>
    <row r="9" spans="2:3" x14ac:dyDescent="0.25">
      <c r="B9" s="48" t="s">
        <v>707</v>
      </c>
      <c r="C9" s="65" t="s">
        <v>1298</v>
      </c>
    </row>
    <row r="10" spans="2:3" x14ac:dyDescent="0.25">
      <c r="B10" s="48" t="s">
        <v>594</v>
      </c>
      <c r="C10" s="65" t="s">
        <v>1280</v>
      </c>
    </row>
    <row r="11" spans="2:3" x14ac:dyDescent="0.25">
      <c r="B11" s="313" t="s">
        <v>25</v>
      </c>
      <c r="C11" s="317"/>
    </row>
    <row r="12" spans="2:3" x14ac:dyDescent="0.25">
      <c r="B12" s="60" t="s">
        <v>593</v>
      </c>
      <c r="C12" s="65" t="s">
        <v>427</v>
      </c>
    </row>
    <row r="13" spans="2:3" x14ac:dyDescent="0.25">
      <c r="B13" s="60" t="s">
        <v>1095</v>
      </c>
      <c r="C13" s="65" t="s">
        <v>1096</v>
      </c>
    </row>
    <row r="14" spans="2:3" x14ac:dyDescent="0.25">
      <c r="B14" s="60" t="s">
        <v>1097</v>
      </c>
      <c r="C14" s="65" t="s">
        <v>478</v>
      </c>
    </row>
    <row r="15" spans="2:3" x14ac:dyDescent="0.25">
      <c r="B15" s="60" t="s">
        <v>1098</v>
      </c>
      <c r="C15" s="65" t="s">
        <v>805</v>
      </c>
    </row>
    <row r="16" spans="2:3" x14ac:dyDescent="0.25">
      <c r="B16" s="60" t="s">
        <v>1100</v>
      </c>
      <c r="C16" s="65" t="s">
        <v>1099</v>
      </c>
    </row>
    <row r="17" spans="2:3" x14ac:dyDescent="0.25">
      <c r="B17" s="313" t="s">
        <v>18</v>
      </c>
      <c r="C17" s="314"/>
    </row>
    <row r="18" spans="2:3" x14ac:dyDescent="0.25">
      <c r="B18" s="61" t="s">
        <v>595</v>
      </c>
      <c r="C18" s="67" t="s">
        <v>596</v>
      </c>
    </row>
    <row r="19" spans="2:3" x14ac:dyDescent="0.25">
      <c r="B19" s="62" t="s">
        <v>808</v>
      </c>
      <c r="C19" s="65" t="s">
        <v>1130</v>
      </c>
    </row>
    <row r="20" spans="2:3" x14ac:dyDescent="0.25">
      <c r="B20" s="62" t="s">
        <v>1109</v>
      </c>
      <c r="C20" s="65" t="s">
        <v>1152</v>
      </c>
    </row>
    <row r="21" spans="2:3" x14ac:dyDescent="0.25">
      <c r="B21" s="62" t="s">
        <v>249</v>
      </c>
      <c r="C21" s="65" t="s">
        <v>454</v>
      </c>
    </row>
    <row r="22" spans="2:3" x14ac:dyDescent="0.25">
      <c r="B22" s="66" t="s">
        <v>38</v>
      </c>
      <c r="C22" s="65" t="s">
        <v>1281</v>
      </c>
    </row>
    <row r="23" spans="2:3" x14ac:dyDescent="0.25">
      <c r="B23" s="70" t="s">
        <v>809</v>
      </c>
      <c r="C23" s="71" t="s">
        <v>428</v>
      </c>
    </row>
    <row r="28" spans="2:3" ht="30.6" customHeight="1" x14ac:dyDescent="0.25">
      <c r="B28" s="318" t="s">
        <v>1201</v>
      </c>
      <c r="C28" s="318" t="s">
        <v>429</v>
      </c>
    </row>
    <row r="29" spans="2:3" x14ac:dyDescent="0.25">
      <c r="B29" s="49" t="s">
        <v>4</v>
      </c>
      <c r="C29" s="52" t="s">
        <v>5</v>
      </c>
    </row>
    <row r="30" spans="2:3" x14ac:dyDescent="0.25">
      <c r="B30" s="53" t="s">
        <v>274</v>
      </c>
      <c r="C30" s="51" t="s">
        <v>31</v>
      </c>
    </row>
    <row r="31" spans="2:3" x14ac:dyDescent="0.25">
      <c r="B31" s="53" t="s">
        <v>275</v>
      </c>
      <c r="C31" s="51" t="s">
        <v>84</v>
      </c>
    </row>
    <row r="32" spans="2:3" x14ac:dyDescent="0.25">
      <c r="B32" s="50" t="s">
        <v>83</v>
      </c>
      <c r="C32" s="51" t="s">
        <v>85</v>
      </c>
    </row>
    <row r="33" spans="2:3" x14ac:dyDescent="0.25">
      <c r="B33" s="50" t="s">
        <v>362</v>
      </c>
      <c r="C33" s="51" t="s">
        <v>363</v>
      </c>
    </row>
    <row r="34" spans="2:3" x14ac:dyDescent="0.25">
      <c r="B34" s="50" t="s">
        <v>86</v>
      </c>
      <c r="C34" s="51" t="s">
        <v>1145</v>
      </c>
    </row>
    <row r="35" spans="2:3" x14ac:dyDescent="0.25">
      <c r="B35" s="54" t="s">
        <v>87</v>
      </c>
      <c r="C35" s="51" t="s">
        <v>1140</v>
      </c>
    </row>
    <row r="36" spans="2:3" x14ac:dyDescent="0.25">
      <c r="B36" s="54" t="s">
        <v>380</v>
      </c>
      <c r="C36" s="51" t="s">
        <v>476</v>
      </c>
    </row>
    <row r="37" spans="2:3" x14ac:dyDescent="0.25">
      <c r="B37" s="54" t="s">
        <v>395</v>
      </c>
      <c r="C37" s="51" t="s">
        <v>396</v>
      </c>
    </row>
    <row r="38" spans="2:3" x14ac:dyDescent="0.25">
      <c r="B38" s="50" t="s">
        <v>88</v>
      </c>
      <c r="C38" s="51" t="s">
        <v>81</v>
      </c>
    </row>
    <row r="39" spans="2:3" x14ac:dyDescent="0.25">
      <c r="B39" s="50" t="s">
        <v>89</v>
      </c>
      <c r="C39" s="51" t="s">
        <v>1151</v>
      </c>
    </row>
    <row r="40" spans="2:3" x14ac:dyDescent="0.25">
      <c r="B40" s="50" t="s">
        <v>385</v>
      </c>
      <c r="C40" s="51" t="s">
        <v>387</v>
      </c>
    </row>
    <row r="41" spans="2:3" x14ac:dyDescent="0.25">
      <c r="B41" s="50" t="s">
        <v>386</v>
      </c>
      <c r="C41" s="51" t="s">
        <v>1144</v>
      </c>
    </row>
    <row r="42" spans="2:3" x14ac:dyDescent="0.25">
      <c r="B42" s="50" t="s">
        <v>392</v>
      </c>
      <c r="C42" s="51" t="s">
        <v>394</v>
      </c>
    </row>
    <row r="43" spans="2:3" x14ac:dyDescent="0.25">
      <c r="B43" s="50" t="s">
        <v>393</v>
      </c>
      <c r="C43" s="51" t="s">
        <v>1148</v>
      </c>
    </row>
    <row r="44" spans="2:3" x14ac:dyDescent="0.25">
      <c r="B44" s="50" t="s">
        <v>23</v>
      </c>
      <c r="C44" s="51" t="s">
        <v>398</v>
      </c>
    </row>
    <row r="45" spans="2:3" x14ac:dyDescent="0.25">
      <c r="B45" s="50" t="s">
        <v>19</v>
      </c>
      <c r="C45" s="51" t="s">
        <v>1139</v>
      </c>
    </row>
    <row r="46" spans="2:3" x14ac:dyDescent="0.25">
      <c r="B46" s="50" t="s">
        <v>407</v>
      </c>
      <c r="C46" s="51" t="s">
        <v>408</v>
      </c>
    </row>
    <row r="47" spans="2:3" x14ac:dyDescent="0.25">
      <c r="B47" s="50" t="s">
        <v>399</v>
      </c>
      <c r="C47" s="51" t="s">
        <v>401</v>
      </c>
    </row>
    <row r="48" spans="2:3" x14ac:dyDescent="0.25">
      <c r="B48" s="50" t="s">
        <v>400</v>
      </c>
      <c r="C48" s="51" t="s">
        <v>1147</v>
      </c>
    </row>
    <row r="49" spans="2:3" x14ac:dyDescent="0.25">
      <c r="B49" s="53" t="s">
        <v>1107</v>
      </c>
      <c r="C49" s="51" t="s">
        <v>1110</v>
      </c>
    </row>
    <row r="50" spans="2:3" ht="47.25" x14ac:dyDescent="0.25">
      <c r="B50" s="55" t="s">
        <v>1108</v>
      </c>
      <c r="C50" s="51" t="s">
        <v>453</v>
      </c>
    </row>
    <row r="51" spans="2:3" x14ac:dyDescent="0.25">
      <c r="B51" s="53" t="s">
        <v>249</v>
      </c>
      <c r="C51" s="51" t="s">
        <v>455</v>
      </c>
    </row>
    <row r="52" spans="2:3" x14ac:dyDescent="0.25">
      <c r="B52" s="68" t="s">
        <v>601</v>
      </c>
      <c r="C52" s="69" t="s">
        <v>1111</v>
      </c>
    </row>
    <row r="53" spans="2:3" customFormat="1" ht="15" x14ac:dyDescent="0.25"/>
    <row r="54" spans="2:3" customFormat="1" ht="15" x14ac:dyDescent="0.25"/>
    <row r="57" spans="2:3" x14ac:dyDescent="0.25">
      <c r="B57" s="315" t="s">
        <v>1299</v>
      </c>
      <c r="C57" s="316"/>
    </row>
    <row r="58" spans="2:3" x14ac:dyDescent="0.25">
      <c r="B58" s="43" t="s">
        <v>120</v>
      </c>
      <c r="C58" s="44" t="s">
        <v>121</v>
      </c>
    </row>
    <row r="59" spans="2:3" x14ac:dyDescent="0.25">
      <c r="B59" s="28" t="s">
        <v>122</v>
      </c>
      <c r="C59" s="45" t="s">
        <v>1300</v>
      </c>
    </row>
    <row r="60" spans="2:3" x14ac:dyDescent="0.25">
      <c r="B60" s="46" t="s">
        <v>123</v>
      </c>
      <c r="C60" s="47" t="s">
        <v>1301</v>
      </c>
    </row>
  </sheetData>
  <mergeCells count="6">
    <mergeCell ref="B17:C17"/>
    <mergeCell ref="B57:C57"/>
    <mergeCell ref="B7:C7"/>
    <mergeCell ref="B11:C11"/>
    <mergeCell ref="B2:C2"/>
    <mergeCell ref="B28:C28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65FB-8EFB-4748-B33A-FE1C53A0544A}">
  <dimension ref="B3:C93"/>
  <sheetViews>
    <sheetView topLeftCell="A5" zoomScaleNormal="100" workbookViewId="0">
      <selection activeCell="F73" sqref="F73"/>
    </sheetView>
  </sheetViews>
  <sheetFormatPr defaultColWidth="8.5703125" defaultRowHeight="15.75" x14ac:dyDescent="0.25"/>
  <cols>
    <col min="1" max="1" style="28" width="8.5703125" collapsed="true"/>
    <col min="2" max="2" customWidth="true" style="28" width="28.85546875" collapsed="true"/>
    <col min="3" max="3" customWidth="true" style="28" width="110.42578125" collapsed="true"/>
    <col min="4" max="5" style="28" width="8.5703125" collapsed="true"/>
    <col min="6" max="6" customWidth="true" style="28" width="93.140625" collapsed="true"/>
    <col min="7" max="16384" style="28" width="8.5703125" collapsed="true"/>
  </cols>
  <sheetData>
    <row r="3" spans="2:3" ht="30.6" customHeight="1" x14ac:dyDescent="0.25">
      <c r="B3" s="320" t="s">
        <v>1202</v>
      </c>
      <c r="C3" s="320" t="s">
        <v>430</v>
      </c>
    </row>
    <row r="4" spans="2:3" x14ac:dyDescent="0.25">
      <c r="B4" s="77" t="s">
        <v>4</v>
      </c>
      <c r="C4" s="78" t="s">
        <v>5</v>
      </c>
    </row>
    <row r="5" spans="2:3" x14ac:dyDescent="0.25">
      <c r="B5" s="79" t="s">
        <v>278</v>
      </c>
      <c r="C5" s="80" t="s">
        <v>74</v>
      </c>
    </row>
    <row r="6" spans="2:3" x14ac:dyDescent="0.25">
      <c r="B6" s="62" t="s">
        <v>279</v>
      </c>
      <c r="C6" s="51" t="s">
        <v>37</v>
      </c>
    </row>
    <row r="7" spans="2:3" x14ac:dyDescent="0.25">
      <c r="B7" s="73" t="s">
        <v>116</v>
      </c>
      <c r="C7" s="51" t="s">
        <v>124</v>
      </c>
    </row>
    <row r="8" spans="2:3" x14ac:dyDescent="0.25">
      <c r="B8" s="73" t="s">
        <v>20</v>
      </c>
      <c r="C8" s="51" t="s">
        <v>671</v>
      </c>
    </row>
    <row r="9" spans="2:3" x14ac:dyDescent="0.25">
      <c r="B9" s="73" t="s">
        <v>350</v>
      </c>
      <c r="C9" s="51" t="s">
        <v>351</v>
      </c>
    </row>
    <row r="10" spans="2:3" x14ac:dyDescent="0.25">
      <c r="B10" s="73" t="s">
        <v>379</v>
      </c>
      <c r="C10" s="51" t="s">
        <v>463</v>
      </c>
    </row>
    <row r="11" spans="2:3" x14ac:dyDescent="0.25">
      <c r="B11" s="73" t="s">
        <v>377</v>
      </c>
      <c r="C11" s="51" t="s">
        <v>378</v>
      </c>
    </row>
    <row r="12" spans="2:3" x14ac:dyDescent="0.25">
      <c r="B12" s="73" t="s">
        <v>276</v>
      </c>
      <c r="C12" s="51" t="s">
        <v>583</v>
      </c>
    </row>
    <row r="13" spans="2:3" x14ac:dyDescent="0.25">
      <c r="B13" s="73" t="s">
        <v>277</v>
      </c>
      <c r="C13" s="51" t="s">
        <v>584</v>
      </c>
    </row>
    <row r="14" spans="2:3" ht="47.25" x14ac:dyDescent="0.25">
      <c r="B14" s="53" t="s">
        <v>280</v>
      </c>
      <c r="C14" s="51" t="s">
        <v>582</v>
      </c>
    </row>
    <row r="15" spans="2:3" ht="47.25" x14ac:dyDescent="0.25">
      <c r="B15" s="81" t="s">
        <v>272</v>
      </c>
      <c r="C15" s="51" t="s">
        <v>448</v>
      </c>
    </row>
    <row r="16" spans="2:3" x14ac:dyDescent="0.25">
      <c r="B16" s="85" t="s">
        <v>249</v>
      </c>
      <c r="C16" s="86" t="s">
        <v>535</v>
      </c>
    </row>
    <row r="17" spans="2:3" x14ac:dyDescent="0.25">
      <c r="B17" s="70" t="s">
        <v>450</v>
      </c>
      <c r="C17" s="69" t="s">
        <v>452</v>
      </c>
    </row>
    <row r="21" spans="2:3" ht="29.45" customHeight="1" x14ac:dyDescent="0.25">
      <c r="B21" s="318" t="s">
        <v>1203</v>
      </c>
      <c r="C21" s="319"/>
    </row>
    <row r="22" spans="2:3" x14ac:dyDescent="0.25">
      <c r="B22" s="77" t="s">
        <v>4</v>
      </c>
      <c r="C22" s="78" t="s">
        <v>5</v>
      </c>
    </row>
    <row r="23" spans="2:3" x14ac:dyDescent="0.25">
      <c r="B23" s="79" t="s">
        <v>278</v>
      </c>
      <c r="C23" s="80" t="s">
        <v>74</v>
      </c>
    </row>
    <row r="24" spans="2:3" x14ac:dyDescent="0.25">
      <c r="B24" s="62" t="s">
        <v>279</v>
      </c>
      <c r="C24" s="51" t="s">
        <v>37</v>
      </c>
    </row>
    <row r="25" spans="2:3" x14ac:dyDescent="0.25">
      <c r="B25" s="73" t="s">
        <v>116</v>
      </c>
      <c r="C25" s="51" t="s">
        <v>124</v>
      </c>
    </row>
    <row r="26" spans="2:3" x14ac:dyDescent="0.25">
      <c r="B26" s="73" t="s">
        <v>14</v>
      </c>
      <c r="C26" s="51" t="s">
        <v>579</v>
      </c>
    </row>
    <row r="27" spans="2:3" x14ac:dyDescent="0.25">
      <c r="B27" s="276" t="s">
        <v>1077</v>
      </c>
      <c r="C27" s="277" t="s">
        <v>1078</v>
      </c>
    </row>
    <row r="28" spans="2:3" ht="47.25" x14ac:dyDescent="0.25">
      <c r="B28" s="73" t="s">
        <v>522</v>
      </c>
      <c r="C28" s="51" t="s">
        <v>619</v>
      </c>
    </row>
    <row r="29" spans="2:3" ht="47.25" x14ac:dyDescent="0.25">
      <c r="B29" s="53" t="s">
        <v>280</v>
      </c>
      <c r="C29" s="51" t="s">
        <v>1143</v>
      </c>
    </row>
    <row r="30" spans="2:3" x14ac:dyDescent="0.25">
      <c r="B30" s="73" t="s">
        <v>20</v>
      </c>
      <c r="C30" s="51" t="s">
        <v>1141</v>
      </c>
    </row>
    <row r="31" spans="2:3" x14ac:dyDescent="0.25">
      <c r="B31" s="73" t="s">
        <v>379</v>
      </c>
      <c r="C31" s="51" t="s">
        <v>463</v>
      </c>
    </row>
    <row r="32" spans="2:3" x14ac:dyDescent="0.25">
      <c r="B32" s="73" t="s">
        <v>377</v>
      </c>
      <c r="C32" s="51" t="s">
        <v>378</v>
      </c>
    </row>
    <row r="33" spans="2:3" x14ac:dyDescent="0.25">
      <c r="B33" s="62" t="s">
        <v>272</v>
      </c>
      <c r="C33" s="51" t="s">
        <v>1079</v>
      </c>
    </row>
    <row r="34" spans="2:3" ht="47.25" x14ac:dyDescent="0.25">
      <c r="B34" s="62" t="s">
        <v>249</v>
      </c>
      <c r="C34" s="51" t="s">
        <v>449</v>
      </c>
    </row>
    <row r="35" spans="2:3" x14ac:dyDescent="0.25">
      <c r="B35" s="70" t="s">
        <v>450</v>
      </c>
      <c r="C35" s="69" t="s">
        <v>451</v>
      </c>
    </row>
    <row r="39" spans="2:3" ht="33" customHeight="1" x14ac:dyDescent="0.25">
      <c r="B39" s="320" t="s">
        <v>1204</v>
      </c>
      <c r="C39" s="320"/>
    </row>
    <row r="40" spans="2:3" x14ac:dyDescent="0.25">
      <c r="B40" s="77" t="s">
        <v>4</v>
      </c>
      <c r="C40" s="78" t="s">
        <v>5</v>
      </c>
    </row>
    <row r="41" spans="2:3" x14ac:dyDescent="0.25">
      <c r="B41" s="79" t="s">
        <v>278</v>
      </c>
      <c r="C41" s="80" t="s">
        <v>74</v>
      </c>
    </row>
    <row r="42" spans="2:3" x14ac:dyDescent="0.25">
      <c r="B42" s="62" t="s">
        <v>279</v>
      </c>
      <c r="C42" s="51" t="s">
        <v>37</v>
      </c>
    </row>
    <row r="43" spans="2:3" x14ac:dyDescent="0.25">
      <c r="B43" s="73" t="s">
        <v>116</v>
      </c>
      <c r="C43" s="51" t="s">
        <v>124</v>
      </c>
    </row>
    <row r="44" spans="2:3" ht="31.5" x14ac:dyDescent="0.25">
      <c r="B44" s="53" t="s">
        <v>280</v>
      </c>
      <c r="C44" s="51" t="s">
        <v>1142</v>
      </c>
    </row>
    <row r="45" spans="2:3" x14ac:dyDescent="0.25">
      <c r="B45" s="73" t="s">
        <v>20</v>
      </c>
      <c r="C45" s="51" t="s">
        <v>1141</v>
      </c>
    </row>
    <row r="46" spans="2:3" x14ac:dyDescent="0.25">
      <c r="B46" s="73" t="s">
        <v>379</v>
      </c>
      <c r="C46" s="51" t="s">
        <v>1060</v>
      </c>
    </row>
    <row r="47" spans="2:3" x14ac:dyDescent="0.25">
      <c r="B47" s="73" t="s">
        <v>377</v>
      </c>
      <c r="C47" s="51" t="s">
        <v>378</v>
      </c>
    </row>
    <row r="48" spans="2:3" ht="47.25" x14ac:dyDescent="0.25">
      <c r="B48" s="62" t="s">
        <v>272</v>
      </c>
      <c r="C48" s="51" t="s">
        <v>448</v>
      </c>
    </row>
    <row r="49" spans="2:3" ht="47.25" x14ac:dyDescent="0.25">
      <c r="B49" s="62" t="s">
        <v>249</v>
      </c>
      <c r="C49" s="51" t="s">
        <v>449</v>
      </c>
    </row>
    <row r="50" spans="2:3" x14ac:dyDescent="0.25">
      <c r="B50" s="70" t="s">
        <v>450</v>
      </c>
      <c r="C50" s="69" t="s">
        <v>451</v>
      </c>
    </row>
    <row r="54" spans="2:3" ht="34.35" customHeight="1" x14ac:dyDescent="0.25">
      <c r="B54" s="320" t="s">
        <v>1205</v>
      </c>
      <c r="C54" s="320" t="s">
        <v>430</v>
      </c>
    </row>
    <row r="55" spans="2:3" x14ac:dyDescent="0.25">
      <c r="B55" s="77" t="s">
        <v>4</v>
      </c>
      <c r="C55" s="78" t="s">
        <v>5</v>
      </c>
    </row>
    <row r="56" spans="2:3" x14ac:dyDescent="0.25">
      <c r="B56" s="79" t="s">
        <v>278</v>
      </c>
      <c r="C56" s="80" t="s">
        <v>74</v>
      </c>
    </row>
    <row r="57" spans="2:3" x14ac:dyDescent="0.25">
      <c r="B57" s="62" t="s">
        <v>279</v>
      </c>
      <c r="C57" s="51" t="s">
        <v>37</v>
      </c>
    </row>
    <row r="58" spans="2:3" x14ac:dyDescent="0.25">
      <c r="B58" s="73" t="s">
        <v>116</v>
      </c>
      <c r="C58" s="51" t="s">
        <v>124</v>
      </c>
    </row>
    <row r="59" spans="2:3" x14ac:dyDescent="0.25">
      <c r="B59" s="73" t="s">
        <v>20</v>
      </c>
      <c r="C59" s="51" t="s">
        <v>1141</v>
      </c>
    </row>
    <row r="60" spans="2:3" x14ac:dyDescent="0.25">
      <c r="B60" s="73" t="s">
        <v>350</v>
      </c>
      <c r="C60" s="51" t="s">
        <v>351</v>
      </c>
    </row>
    <row r="61" spans="2:3" x14ac:dyDescent="0.25">
      <c r="B61" s="73" t="s">
        <v>379</v>
      </c>
      <c r="C61" s="51" t="s">
        <v>462</v>
      </c>
    </row>
    <row r="62" spans="2:3" x14ac:dyDescent="0.25">
      <c r="B62" s="73" t="s">
        <v>377</v>
      </c>
      <c r="C62" s="51" t="s">
        <v>378</v>
      </c>
    </row>
    <row r="63" spans="2:3" ht="47.25" x14ac:dyDescent="0.25">
      <c r="B63" s="53" t="s">
        <v>280</v>
      </c>
      <c r="C63" s="51" t="s">
        <v>1146</v>
      </c>
    </row>
    <row r="64" spans="2:3" ht="47.25" x14ac:dyDescent="0.25">
      <c r="B64" s="62" t="s">
        <v>272</v>
      </c>
      <c r="C64" s="51" t="s">
        <v>541</v>
      </c>
    </row>
    <row r="65" spans="2:3" ht="47.25" x14ac:dyDescent="0.25">
      <c r="B65" s="85" t="s">
        <v>249</v>
      </c>
      <c r="C65" s="86" t="s">
        <v>449</v>
      </c>
    </row>
    <row r="66" spans="2:3" x14ac:dyDescent="0.25">
      <c r="B66" s="70" t="s">
        <v>450</v>
      </c>
      <c r="C66" s="69" t="s">
        <v>452</v>
      </c>
    </row>
    <row r="70" spans="2:3" ht="31.35" customHeight="1" x14ac:dyDescent="0.25">
      <c r="B70" s="318" t="s">
        <v>1206</v>
      </c>
      <c r="C70" s="319"/>
    </row>
    <row r="71" spans="2:3" x14ac:dyDescent="0.25">
      <c r="B71" s="77" t="s">
        <v>4</v>
      </c>
      <c r="C71" s="78" t="s">
        <v>5</v>
      </c>
    </row>
    <row r="72" spans="2:3" x14ac:dyDescent="0.25">
      <c r="B72" s="79" t="s">
        <v>278</v>
      </c>
      <c r="C72" s="80" t="s">
        <v>74</v>
      </c>
    </row>
    <row r="73" spans="2:3" x14ac:dyDescent="0.25">
      <c r="B73" s="62" t="s">
        <v>279</v>
      </c>
      <c r="C73" s="51" t="s">
        <v>37</v>
      </c>
    </row>
    <row r="74" spans="2:3" x14ac:dyDescent="0.25">
      <c r="B74" s="53" t="s">
        <v>280</v>
      </c>
      <c r="C74" s="51" t="s">
        <v>1137</v>
      </c>
    </row>
    <row r="75" spans="2:3" x14ac:dyDescent="0.25">
      <c r="B75" s="83" t="s">
        <v>39</v>
      </c>
      <c r="C75" s="51" t="s">
        <v>526</v>
      </c>
    </row>
    <row r="76" spans="2:3" x14ac:dyDescent="0.25">
      <c r="B76" s="62" t="s">
        <v>272</v>
      </c>
      <c r="C76" s="51" t="s">
        <v>527</v>
      </c>
    </row>
    <row r="77" spans="2:3" x14ac:dyDescent="0.25">
      <c r="B77" s="62" t="s">
        <v>249</v>
      </c>
      <c r="C77" s="84" t="s">
        <v>465</v>
      </c>
    </row>
    <row r="78" spans="2:3" x14ac:dyDescent="0.25">
      <c r="B78" s="70" t="s">
        <v>450</v>
      </c>
      <c r="C78" s="69" t="s">
        <v>452</v>
      </c>
    </row>
    <row r="82" spans="2:3" ht="38.450000000000003" customHeight="1" x14ac:dyDescent="0.25">
      <c r="B82" s="318" t="s">
        <v>1207</v>
      </c>
      <c r="C82" s="319"/>
    </row>
    <row r="83" spans="2:3" x14ac:dyDescent="0.25">
      <c r="B83" s="77" t="s">
        <v>4</v>
      </c>
      <c r="C83" s="78" t="s">
        <v>5</v>
      </c>
    </row>
    <row r="84" spans="2:3" x14ac:dyDescent="0.25">
      <c r="B84" s="79" t="s">
        <v>278</v>
      </c>
      <c r="C84" s="80" t="s">
        <v>74</v>
      </c>
    </row>
    <row r="85" spans="2:3" x14ac:dyDescent="0.25">
      <c r="B85" s="62" t="s">
        <v>279</v>
      </c>
      <c r="C85" s="51" t="s">
        <v>37</v>
      </c>
    </row>
    <row r="86" spans="2:3" x14ac:dyDescent="0.25">
      <c r="B86" s="73" t="s">
        <v>116</v>
      </c>
      <c r="C86" s="51" t="s">
        <v>124</v>
      </c>
    </row>
    <row r="87" spans="2:3" x14ac:dyDescent="0.25">
      <c r="B87" s="73" t="s">
        <v>475</v>
      </c>
      <c r="C87" s="51" t="s">
        <v>477</v>
      </c>
    </row>
    <row r="88" spans="2:3" ht="31.5" x14ac:dyDescent="0.25">
      <c r="B88" s="62" t="s">
        <v>280</v>
      </c>
      <c r="C88" s="51" t="s">
        <v>529</v>
      </c>
    </row>
    <row r="89" spans="2:3" x14ac:dyDescent="0.25">
      <c r="B89" s="73" t="s">
        <v>532</v>
      </c>
      <c r="C89" s="51" t="s">
        <v>533</v>
      </c>
    </row>
    <row r="90" spans="2:3" x14ac:dyDescent="0.25">
      <c r="B90" s="73" t="s">
        <v>39</v>
      </c>
      <c r="C90" s="51" t="s">
        <v>534</v>
      </c>
    </row>
    <row r="91" spans="2:3" x14ac:dyDescent="0.25">
      <c r="B91" s="62" t="s">
        <v>272</v>
      </c>
      <c r="C91" s="51" t="s">
        <v>525</v>
      </c>
    </row>
    <row r="92" spans="2:3" ht="31.5" x14ac:dyDescent="0.25">
      <c r="B92" s="62" t="s">
        <v>249</v>
      </c>
      <c r="C92" s="51" t="s">
        <v>531</v>
      </c>
    </row>
    <row r="93" spans="2:3" ht="15" customHeight="1" x14ac:dyDescent="0.25">
      <c r="B93" s="70" t="s">
        <v>450</v>
      </c>
      <c r="C93" s="69" t="s">
        <v>452</v>
      </c>
    </row>
  </sheetData>
  <mergeCells count="6">
    <mergeCell ref="B82:C82"/>
    <mergeCell ref="B54:C54"/>
    <mergeCell ref="B39:C39"/>
    <mergeCell ref="B3:C3"/>
    <mergeCell ref="B21:C21"/>
    <mergeCell ref="B70:C7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2F1D-9014-4BC7-82D7-441803E7658F}">
  <dimension ref="B4:F214"/>
  <sheetViews>
    <sheetView tabSelected="1" topLeftCell="A25" zoomScaleNormal="100" workbookViewId="0">
      <selection activeCell="C7" sqref="C7"/>
    </sheetView>
  </sheetViews>
  <sheetFormatPr defaultColWidth="8.5703125" defaultRowHeight="15.75" x14ac:dyDescent="0.25"/>
  <cols>
    <col min="1" max="1" style="28" width="8.5703125" collapsed="true"/>
    <col min="2" max="2" customWidth="true" style="28" width="32.140625" collapsed="true"/>
    <col min="3" max="3" customWidth="true" style="28" width="93.140625" collapsed="true"/>
    <col min="4" max="4" customWidth="true" style="28" width="12.42578125" collapsed="true"/>
    <col min="5" max="6" style="28" width="8.5703125" collapsed="true"/>
    <col min="7" max="7" customWidth="true" width="50.5703125" collapsed="true"/>
    <col min="8" max="11" width="8.5703125" collapsed="true"/>
    <col min="12" max="12" customWidth="true" width="42.5703125" collapsed="true"/>
    <col min="13" max="17" width="8.5703125" collapsed="true"/>
    <col min="18" max="16384" style="28" width="8.5703125" collapsed="true"/>
  </cols>
  <sheetData>
    <row r="4" spans="2:6" ht="30" customHeight="1" x14ac:dyDescent="0.25">
      <c r="B4" s="320" t="s">
        <v>1278</v>
      </c>
      <c r="C4" s="320"/>
    </row>
    <row r="5" spans="2:6" x14ac:dyDescent="0.25">
      <c r="B5" s="77" t="s">
        <v>4</v>
      </c>
      <c r="C5" s="78" t="s">
        <v>5</v>
      </c>
    </row>
    <row r="6" spans="2:6" x14ac:dyDescent="0.25">
      <c r="B6" s="58" t="s">
        <v>6</v>
      </c>
      <c r="C6" s="87" t="s">
        <v>7</v>
      </c>
    </row>
    <row r="7" spans="2:6" x14ac:dyDescent="0.25">
      <c r="B7" s="58" t="s">
        <v>3</v>
      </c>
      <c r="C7" s="87" t="s">
        <v>21</v>
      </c>
      <c r="F7" s="358" t="s">
        <v>1297</v>
      </c>
    </row>
    <row r="8" spans="2:6" x14ac:dyDescent="0.25">
      <c r="B8" s="58" t="s">
        <v>11</v>
      </c>
      <c r="C8" s="87" t="s">
        <v>457</v>
      </c>
    </row>
    <row r="9" spans="2:6" x14ac:dyDescent="0.25">
      <c r="B9" s="73" t="s">
        <v>496</v>
      </c>
      <c r="C9" s="87" t="s">
        <v>497</v>
      </c>
    </row>
    <row r="10" spans="2:6" x14ac:dyDescent="0.25">
      <c r="B10" s="73" t="s">
        <v>15</v>
      </c>
      <c r="C10" s="87" t="s">
        <v>269</v>
      </c>
    </row>
    <row r="11" spans="2:6" x14ac:dyDescent="0.25">
      <c r="B11" s="73" t="s">
        <v>60</v>
      </c>
      <c r="C11" s="87" t="s">
        <v>61</v>
      </c>
    </row>
    <row r="12" spans="2:6" x14ac:dyDescent="0.25">
      <c r="B12" s="73" t="s">
        <v>62</v>
      </c>
      <c r="C12" s="87" t="s">
        <v>63</v>
      </c>
    </row>
    <row r="13" spans="2:6" ht="31.5" x14ac:dyDescent="0.25">
      <c r="B13" s="73" t="s">
        <v>0</v>
      </c>
      <c r="C13" s="51" t="s">
        <v>1312</v>
      </c>
    </row>
    <row r="14" spans="2:6" x14ac:dyDescent="0.25">
      <c r="B14" s="73" t="s">
        <v>113</v>
      </c>
      <c r="C14" s="87" t="s">
        <v>270</v>
      </c>
    </row>
    <row r="15" spans="2:6" x14ac:dyDescent="0.25">
      <c r="B15" s="73" t="s">
        <v>114</v>
      </c>
      <c r="C15" s="87" t="s">
        <v>268</v>
      </c>
    </row>
    <row r="16" spans="2:6" x14ac:dyDescent="0.25">
      <c r="B16" s="73" t="s">
        <v>345</v>
      </c>
      <c r="C16" s="87" t="s">
        <v>346</v>
      </c>
    </row>
    <row r="17" spans="2:3" x14ac:dyDescent="0.25">
      <c r="B17" s="73" t="s">
        <v>544</v>
      </c>
      <c r="C17" s="87" t="s">
        <v>545</v>
      </c>
    </row>
    <row r="18" spans="2:3" x14ac:dyDescent="0.25">
      <c r="B18" s="73" t="s">
        <v>24</v>
      </c>
      <c r="C18" s="87" t="s">
        <v>27</v>
      </c>
    </row>
    <row r="19" spans="2:3" x14ac:dyDescent="0.25">
      <c r="B19" s="73" t="s">
        <v>459</v>
      </c>
      <c r="C19" s="87" t="s">
        <v>458</v>
      </c>
    </row>
    <row r="20" spans="2:3" ht="31.5" x14ac:dyDescent="0.25">
      <c r="B20" s="73" t="s">
        <v>704</v>
      </c>
      <c r="C20" s="51" t="s">
        <v>1153</v>
      </c>
    </row>
    <row r="21" spans="2:3" x14ac:dyDescent="0.25">
      <c r="B21" s="110" t="s">
        <v>22</v>
      </c>
      <c r="C21" s="111" t="s">
        <v>1040</v>
      </c>
    </row>
    <row r="25" spans="2:3" ht="14.45" customHeight="1" x14ac:dyDescent="0.25">
      <c r="B25" s="321" t="s">
        <v>1208</v>
      </c>
      <c r="C25" s="321"/>
    </row>
    <row r="26" spans="2:3" x14ac:dyDescent="0.25">
      <c r="B26" s="43" t="s">
        <v>0</v>
      </c>
      <c r="C26" s="44" t="s">
        <v>115</v>
      </c>
    </row>
    <row r="27" spans="2:3" x14ac:dyDescent="0.25">
      <c r="B27" s="89" t="s">
        <v>80</v>
      </c>
      <c r="C27" s="89" t="s">
        <v>142</v>
      </c>
    </row>
    <row r="28" spans="2:3" x14ac:dyDescent="0.25">
      <c r="B28" s="89" t="s">
        <v>91</v>
      </c>
      <c r="C28" s="89" t="s">
        <v>125</v>
      </c>
    </row>
    <row r="29" spans="2:3" x14ac:dyDescent="0.25">
      <c r="B29" s="89" t="s">
        <v>92</v>
      </c>
      <c r="C29" s="89" t="s">
        <v>126</v>
      </c>
    </row>
    <row r="30" spans="2:3" x14ac:dyDescent="0.25">
      <c r="B30" s="89" t="s">
        <v>93</v>
      </c>
      <c r="C30" s="89" t="s">
        <v>127</v>
      </c>
    </row>
    <row r="31" spans="2:3" x14ac:dyDescent="0.25">
      <c r="B31" s="89" t="s">
        <v>94</v>
      </c>
      <c r="C31" s="89" t="s">
        <v>128</v>
      </c>
    </row>
    <row r="32" spans="2:3" x14ac:dyDescent="0.25">
      <c r="B32" s="89" t="s">
        <v>95</v>
      </c>
      <c r="C32" s="89" t="s">
        <v>129</v>
      </c>
    </row>
    <row r="33" spans="2:3" x14ac:dyDescent="0.25">
      <c r="B33" s="89" t="s">
        <v>96</v>
      </c>
      <c r="C33" s="89" t="s">
        <v>130</v>
      </c>
    </row>
    <row r="34" spans="2:3" x14ac:dyDescent="0.25">
      <c r="B34" s="89" t="s">
        <v>97</v>
      </c>
      <c r="C34" s="89" t="s">
        <v>131</v>
      </c>
    </row>
    <row r="35" spans="2:3" x14ac:dyDescent="0.25">
      <c r="B35" s="89" t="s">
        <v>1053</v>
      </c>
      <c r="C35" s="89" t="s">
        <v>1054</v>
      </c>
    </row>
    <row r="36" spans="2:3" x14ac:dyDescent="0.25">
      <c r="B36" s="91" t="s">
        <v>1055</v>
      </c>
      <c r="C36" s="91" t="s">
        <v>1056</v>
      </c>
    </row>
    <row r="37" spans="2:3" x14ac:dyDescent="0.25">
      <c r="B37" s="112"/>
      <c r="C37" s="112"/>
    </row>
    <row r="40" spans="2:3" x14ac:dyDescent="0.25">
      <c r="B40" s="321" t="s">
        <v>1209</v>
      </c>
      <c r="C40" s="321"/>
    </row>
    <row r="41" spans="2:3" x14ac:dyDescent="0.25">
      <c r="B41" s="88" t="s">
        <v>0</v>
      </c>
      <c r="C41" s="57" t="s">
        <v>115</v>
      </c>
    </row>
    <row r="42" spans="2:3" x14ac:dyDescent="0.25">
      <c r="B42" s="89">
        <v>18</v>
      </c>
      <c r="C42" s="90">
        <v>18</v>
      </c>
    </row>
    <row r="43" spans="2:3" x14ac:dyDescent="0.25">
      <c r="B43" s="89">
        <v>19</v>
      </c>
      <c r="C43" s="90">
        <v>19</v>
      </c>
    </row>
    <row r="44" spans="2:3" x14ac:dyDescent="0.25">
      <c r="B44" s="89">
        <v>20</v>
      </c>
      <c r="C44" s="90">
        <v>20</v>
      </c>
    </row>
    <row r="45" spans="2:3" x14ac:dyDescent="0.25">
      <c r="B45" s="89">
        <v>21</v>
      </c>
      <c r="C45" s="90">
        <v>21</v>
      </c>
    </row>
    <row r="46" spans="2:3" x14ac:dyDescent="0.25">
      <c r="B46" s="89">
        <v>22</v>
      </c>
      <c r="C46" s="90">
        <v>22</v>
      </c>
    </row>
    <row r="47" spans="2:3" x14ac:dyDescent="0.25">
      <c r="B47" s="89">
        <v>23</v>
      </c>
      <c r="C47" s="90">
        <v>23</v>
      </c>
    </row>
    <row r="48" spans="2:3" x14ac:dyDescent="0.25">
      <c r="B48" s="91">
        <v>24</v>
      </c>
      <c r="C48" s="92">
        <v>24</v>
      </c>
    </row>
    <row r="49" spans="2:3" x14ac:dyDescent="0.25">
      <c r="B49" s="89">
        <v>25</v>
      </c>
      <c r="C49" s="90">
        <v>25</v>
      </c>
    </row>
    <row r="50" spans="2:3" x14ac:dyDescent="0.25">
      <c r="B50" s="89">
        <v>26</v>
      </c>
      <c r="C50" s="90">
        <v>26</v>
      </c>
    </row>
    <row r="51" spans="2:3" x14ac:dyDescent="0.25">
      <c r="B51" s="89">
        <v>27</v>
      </c>
      <c r="C51" s="90">
        <v>27</v>
      </c>
    </row>
    <row r="52" spans="2:3" x14ac:dyDescent="0.25">
      <c r="B52" s="89">
        <v>28</v>
      </c>
      <c r="C52" s="90">
        <v>28</v>
      </c>
    </row>
    <row r="53" spans="2:3" x14ac:dyDescent="0.25">
      <c r="B53" s="91">
        <v>29</v>
      </c>
      <c r="C53" s="92">
        <v>29</v>
      </c>
    </row>
    <row r="54" spans="2:3" x14ac:dyDescent="0.25">
      <c r="B54" s="89">
        <v>30</v>
      </c>
      <c r="C54" s="90">
        <v>30</v>
      </c>
    </row>
    <row r="55" spans="2:3" x14ac:dyDescent="0.25">
      <c r="B55" s="89">
        <v>31</v>
      </c>
      <c r="C55" s="90">
        <v>31</v>
      </c>
    </row>
    <row r="56" spans="2:3" x14ac:dyDescent="0.25">
      <c r="B56" s="89">
        <v>32</v>
      </c>
      <c r="C56" s="90">
        <v>32</v>
      </c>
    </row>
    <row r="57" spans="2:3" x14ac:dyDescent="0.25">
      <c r="B57" s="89">
        <v>33</v>
      </c>
      <c r="C57" s="90">
        <v>33</v>
      </c>
    </row>
    <row r="58" spans="2:3" x14ac:dyDescent="0.25">
      <c r="B58" s="91">
        <v>34</v>
      </c>
      <c r="C58" s="92">
        <v>34</v>
      </c>
    </row>
    <row r="59" spans="2:3" x14ac:dyDescent="0.25">
      <c r="B59" s="89">
        <v>35</v>
      </c>
      <c r="C59" s="90">
        <v>35</v>
      </c>
    </row>
    <row r="60" spans="2:3" x14ac:dyDescent="0.25">
      <c r="B60" s="89">
        <v>36</v>
      </c>
      <c r="C60" s="90">
        <v>36</v>
      </c>
    </row>
    <row r="61" spans="2:3" x14ac:dyDescent="0.25">
      <c r="B61" s="89">
        <v>37</v>
      </c>
      <c r="C61" s="90">
        <v>37</v>
      </c>
    </row>
    <row r="62" spans="2:3" x14ac:dyDescent="0.25">
      <c r="B62" s="89">
        <v>38</v>
      </c>
      <c r="C62" s="90">
        <v>38</v>
      </c>
    </row>
    <row r="63" spans="2:3" x14ac:dyDescent="0.25">
      <c r="B63" s="91">
        <v>39</v>
      </c>
      <c r="C63" s="92">
        <v>39</v>
      </c>
    </row>
    <row r="64" spans="2:3" x14ac:dyDescent="0.25">
      <c r="B64" s="89">
        <v>40</v>
      </c>
      <c r="C64" s="90">
        <v>40</v>
      </c>
    </row>
    <row r="65" spans="2:3" x14ac:dyDescent="0.25">
      <c r="B65" s="89">
        <v>41</v>
      </c>
      <c r="C65" s="90">
        <v>41</v>
      </c>
    </row>
    <row r="66" spans="2:3" x14ac:dyDescent="0.25">
      <c r="B66" s="89">
        <v>42</v>
      </c>
      <c r="C66" s="90">
        <v>42</v>
      </c>
    </row>
    <row r="67" spans="2:3" x14ac:dyDescent="0.25">
      <c r="B67" s="89">
        <v>43</v>
      </c>
      <c r="C67" s="90">
        <v>43</v>
      </c>
    </row>
    <row r="68" spans="2:3" x14ac:dyDescent="0.25">
      <c r="B68" s="91">
        <v>44</v>
      </c>
      <c r="C68" s="92">
        <v>44</v>
      </c>
    </row>
    <row r="69" spans="2:3" x14ac:dyDescent="0.25">
      <c r="B69" s="89">
        <v>45</v>
      </c>
      <c r="C69" s="90">
        <v>45</v>
      </c>
    </row>
    <row r="70" spans="2:3" x14ac:dyDescent="0.25">
      <c r="B70" s="89">
        <v>46</v>
      </c>
      <c r="C70" s="90">
        <v>46</v>
      </c>
    </row>
    <row r="71" spans="2:3" x14ac:dyDescent="0.25">
      <c r="B71" s="89">
        <v>47</v>
      </c>
      <c r="C71" s="90">
        <v>47</v>
      </c>
    </row>
    <row r="72" spans="2:3" x14ac:dyDescent="0.25">
      <c r="B72" s="89">
        <v>48</v>
      </c>
      <c r="C72" s="90">
        <v>48</v>
      </c>
    </row>
    <row r="73" spans="2:3" x14ac:dyDescent="0.25">
      <c r="B73" s="91">
        <v>49</v>
      </c>
      <c r="C73" s="92">
        <v>49</v>
      </c>
    </row>
    <row r="74" spans="2:3" x14ac:dyDescent="0.25">
      <c r="B74" s="89">
        <v>50</v>
      </c>
      <c r="C74" s="90">
        <v>50</v>
      </c>
    </row>
    <row r="75" spans="2:3" x14ac:dyDescent="0.25">
      <c r="B75" s="89">
        <v>51</v>
      </c>
      <c r="C75" s="90">
        <v>51</v>
      </c>
    </row>
    <row r="76" spans="2:3" x14ac:dyDescent="0.25">
      <c r="B76" s="89">
        <v>52</v>
      </c>
      <c r="C76" s="90">
        <v>52</v>
      </c>
    </row>
    <row r="77" spans="2:3" x14ac:dyDescent="0.25">
      <c r="B77" s="89">
        <v>53</v>
      </c>
      <c r="C77" s="90">
        <v>53</v>
      </c>
    </row>
    <row r="78" spans="2:3" x14ac:dyDescent="0.25">
      <c r="B78" s="91">
        <v>54</v>
      </c>
      <c r="C78" s="92">
        <v>54</v>
      </c>
    </row>
    <row r="79" spans="2:3" x14ac:dyDescent="0.25">
      <c r="B79" s="89">
        <v>55</v>
      </c>
      <c r="C79" s="90">
        <v>55</v>
      </c>
    </row>
    <row r="80" spans="2:3" x14ac:dyDescent="0.25">
      <c r="B80" s="89">
        <v>56</v>
      </c>
      <c r="C80" s="90">
        <v>56</v>
      </c>
    </row>
    <row r="81" spans="2:3" x14ac:dyDescent="0.25">
      <c r="B81" s="89">
        <v>57</v>
      </c>
      <c r="C81" s="90">
        <v>57</v>
      </c>
    </row>
    <row r="82" spans="2:3" x14ac:dyDescent="0.25">
      <c r="B82" s="89">
        <v>58</v>
      </c>
      <c r="C82" s="90">
        <v>58</v>
      </c>
    </row>
    <row r="83" spans="2:3" x14ac:dyDescent="0.25">
      <c r="B83" s="91">
        <v>59</v>
      </c>
      <c r="C83" s="92">
        <v>59</v>
      </c>
    </row>
    <row r="84" spans="2:3" x14ac:dyDescent="0.25">
      <c r="B84" s="89">
        <v>60</v>
      </c>
      <c r="C84" s="90">
        <v>60</v>
      </c>
    </row>
    <row r="85" spans="2:3" x14ac:dyDescent="0.25">
      <c r="B85" s="89">
        <v>61</v>
      </c>
      <c r="C85" s="90">
        <v>61</v>
      </c>
    </row>
    <row r="86" spans="2:3" x14ac:dyDescent="0.25">
      <c r="B86" s="89">
        <v>62</v>
      </c>
      <c r="C86" s="90">
        <v>62</v>
      </c>
    </row>
    <row r="87" spans="2:3" x14ac:dyDescent="0.25">
      <c r="B87" s="89">
        <v>63</v>
      </c>
      <c r="C87" s="90">
        <v>63</v>
      </c>
    </row>
    <row r="88" spans="2:3" x14ac:dyDescent="0.25">
      <c r="B88" s="89">
        <v>64</v>
      </c>
      <c r="C88" s="90">
        <v>64</v>
      </c>
    </row>
    <row r="89" spans="2:3" x14ac:dyDescent="0.25">
      <c r="B89" s="91">
        <v>65</v>
      </c>
      <c r="C89" s="92">
        <v>65</v>
      </c>
    </row>
    <row r="90" spans="2:3" x14ac:dyDescent="0.25">
      <c r="B90" s="89">
        <v>66</v>
      </c>
      <c r="C90" s="90">
        <v>66</v>
      </c>
    </row>
    <row r="91" spans="2:3" x14ac:dyDescent="0.25">
      <c r="B91" s="89">
        <v>67</v>
      </c>
      <c r="C91" s="90">
        <v>67</v>
      </c>
    </row>
    <row r="92" spans="2:3" x14ac:dyDescent="0.25">
      <c r="B92" s="89">
        <v>68</v>
      </c>
      <c r="C92" s="90">
        <v>68</v>
      </c>
    </row>
    <row r="93" spans="2:3" x14ac:dyDescent="0.25">
      <c r="B93" s="89">
        <v>69</v>
      </c>
      <c r="C93" s="90">
        <v>69</v>
      </c>
    </row>
    <row r="94" spans="2:3" x14ac:dyDescent="0.25">
      <c r="B94" s="91">
        <v>70</v>
      </c>
      <c r="C94" s="92">
        <v>70</v>
      </c>
    </row>
    <row r="98" spans="2:3" x14ac:dyDescent="0.25">
      <c r="B98" s="322" t="s">
        <v>1210</v>
      </c>
      <c r="C98" s="322"/>
    </row>
    <row r="99" spans="2:3" x14ac:dyDescent="0.25">
      <c r="B99" s="93" t="s">
        <v>359</v>
      </c>
      <c r="C99" s="94" t="s">
        <v>358</v>
      </c>
    </row>
    <row r="100" spans="2:3" x14ac:dyDescent="0.25">
      <c r="B100" s="95">
        <v>10000</v>
      </c>
      <c r="C100" s="95">
        <v>100</v>
      </c>
    </row>
    <row r="101" spans="2:3" x14ac:dyDescent="0.25">
      <c r="B101" s="95" t="s">
        <v>518</v>
      </c>
      <c r="C101" s="95">
        <v>200</v>
      </c>
    </row>
    <row r="102" spans="2:3" x14ac:dyDescent="0.25">
      <c r="B102" s="95" t="s">
        <v>498</v>
      </c>
      <c r="C102" s="95">
        <v>300</v>
      </c>
    </row>
    <row r="103" spans="2:3" x14ac:dyDescent="0.25">
      <c r="B103" s="95" t="s">
        <v>519</v>
      </c>
      <c r="C103" s="95">
        <v>400</v>
      </c>
    </row>
    <row r="104" spans="2:3" x14ac:dyDescent="0.25">
      <c r="B104" s="95" t="s">
        <v>502</v>
      </c>
      <c r="C104" s="95">
        <v>610</v>
      </c>
    </row>
    <row r="105" spans="2:3" x14ac:dyDescent="0.25">
      <c r="B105" s="95" t="s">
        <v>503</v>
      </c>
      <c r="C105" s="95">
        <v>640</v>
      </c>
    </row>
    <row r="106" spans="2:3" x14ac:dyDescent="0.25">
      <c r="B106" s="95" t="s">
        <v>504</v>
      </c>
      <c r="C106" s="95">
        <v>670</v>
      </c>
    </row>
    <row r="107" spans="2:3" x14ac:dyDescent="0.25">
      <c r="B107" s="95" t="s">
        <v>505</v>
      </c>
      <c r="C107" s="95">
        <v>680</v>
      </c>
    </row>
    <row r="108" spans="2:3" x14ac:dyDescent="0.25">
      <c r="B108" s="95" t="s">
        <v>506</v>
      </c>
      <c r="C108" s="95">
        <v>690</v>
      </c>
    </row>
    <row r="109" spans="2:3" x14ac:dyDescent="0.25">
      <c r="B109" s="96" t="s">
        <v>507</v>
      </c>
      <c r="C109" s="96">
        <v>700</v>
      </c>
    </row>
    <row r="113" spans="2:5" x14ac:dyDescent="0.25">
      <c r="B113" s="322" t="s">
        <v>1211</v>
      </c>
      <c r="C113" s="322"/>
    </row>
    <row r="114" spans="2:5" x14ac:dyDescent="0.25">
      <c r="B114" s="93" t="s">
        <v>409</v>
      </c>
      <c r="C114" s="94" t="s">
        <v>358</v>
      </c>
    </row>
    <row r="115" spans="2:5" x14ac:dyDescent="0.25">
      <c r="B115" s="113">
        <v>5000</v>
      </c>
      <c r="C115" s="95">
        <v>100</v>
      </c>
    </row>
    <row r="116" spans="2:5" x14ac:dyDescent="0.25">
      <c r="B116" s="96">
        <v>10000</v>
      </c>
      <c r="C116" s="96">
        <v>100</v>
      </c>
    </row>
    <row r="119" spans="2:5" ht="38.1" customHeight="1" x14ac:dyDescent="0.25">
      <c r="B119" s="321" t="s">
        <v>1212</v>
      </c>
      <c r="C119" s="321"/>
    </row>
    <row r="120" spans="2:5" x14ac:dyDescent="0.25">
      <c r="B120" s="98" t="s">
        <v>30</v>
      </c>
      <c r="C120" s="99" t="s">
        <v>5</v>
      </c>
    </row>
    <row r="121" spans="2:5" x14ac:dyDescent="0.25">
      <c r="B121" s="28" t="s">
        <v>250</v>
      </c>
      <c r="C121" s="35" t="s">
        <v>13</v>
      </c>
    </row>
    <row r="122" spans="2:5" x14ac:dyDescent="0.25">
      <c r="B122" s="28" t="s">
        <v>251</v>
      </c>
      <c r="C122" s="35" t="s">
        <v>556</v>
      </c>
      <c r="E122" s="35"/>
    </row>
    <row r="123" spans="2:5" x14ac:dyDescent="0.25">
      <c r="B123" s="28" t="s">
        <v>252</v>
      </c>
      <c r="C123" s="35" t="s">
        <v>253</v>
      </c>
    </row>
    <row r="124" spans="2:5" x14ac:dyDescent="0.25">
      <c r="B124" s="28" t="s">
        <v>254</v>
      </c>
      <c r="C124" s="35" t="s">
        <v>552</v>
      </c>
    </row>
    <row r="125" spans="2:5" x14ac:dyDescent="0.25">
      <c r="B125" s="28" t="s">
        <v>255</v>
      </c>
      <c r="C125" s="35" t="s">
        <v>256</v>
      </c>
    </row>
    <row r="126" spans="2:5" x14ac:dyDescent="0.25">
      <c r="B126" s="28" t="s">
        <v>257</v>
      </c>
      <c r="C126" s="35" t="s">
        <v>258</v>
      </c>
    </row>
    <row r="127" spans="2:5" x14ac:dyDescent="0.25">
      <c r="B127" s="28" t="s">
        <v>259</v>
      </c>
      <c r="C127" s="35" t="s">
        <v>374</v>
      </c>
    </row>
    <row r="128" spans="2:5" x14ac:dyDescent="0.25">
      <c r="B128" s="28" t="s">
        <v>260</v>
      </c>
      <c r="C128" s="35" t="s">
        <v>261</v>
      </c>
    </row>
    <row r="129" spans="2:4" x14ac:dyDescent="0.25">
      <c r="B129" s="28" t="s">
        <v>262</v>
      </c>
      <c r="C129" s="35" t="s">
        <v>263</v>
      </c>
    </row>
    <row r="130" spans="2:4" x14ac:dyDescent="0.25">
      <c r="B130" s="72" t="s">
        <v>264</v>
      </c>
      <c r="C130" s="35" t="s">
        <v>265</v>
      </c>
    </row>
    <row r="131" spans="2:4" x14ac:dyDescent="0.25">
      <c r="B131" s="46" t="s">
        <v>266</v>
      </c>
      <c r="C131" s="100" t="s">
        <v>267</v>
      </c>
    </row>
    <row r="132" spans="2:4" x14ac:dyDescent="0.25">
      <c r="C132" s="35"/>
    </row>
    <row r="133" spans="2:4" x14ac:dyDescent="0.25">
      <c r="C133" s="35"/>
    </row>
    <row r="135" spans="2:4" x14ac:dyDescent="0.25">
      <c r="B135" s="322" t="s">
        <v>1213</v>
      </c>
      <c r="C135" s="322"/>
      <c r="D135" s="322"/>
    </row>
    <row r="136" spans="2:4" x14ac:dyDescent="0.25">
      <c r="B136" s="98" t="s">
        <v>0</v>
      </c>
      <c r="C136" s="99" t="s">
        <v>375</v>
      </c>
      <c r="D136" s="99" t="s">
        <v>376</v>
      </c>
    </row>
    <row r="137" spans="2:4" x14ac:dyDescent="0.25">
      <c r="B137" s="101">
        <v>18</v>
      </c>
      <c r="C137" s="102">
        <v>0</v>
      </c>
      <c r="D137" s="102">
        <v>0</v>
      </c>
    </row>
    <row r="138" spans="2:4" x14ac:dyDescent="0.25">
      <c r="B138" s="101">
        <v>19</v>
      </c>
      <c r="C138" s="102">
        <v>0</v>
      </c>
      <c r="D138" s="102">
        <v>0</v>
      </c>
    </row>
    <row r="139" spans="2:4" x14ac:dyDescent="0.25">
      <c r="B139" s="101">
        <v>20</v>
      </c>
      <c r="C139" s="102">
        <v>0</v>
      </c>
      <c r="D139" s="102">
        <v>0</v>
      </c>
    </row>
    <row r="140" spans="2:4" x14ac:dyDescent="0.25">
      <c r="B140" s="101">
        <v>21</v>
      </c>
      <c r="C140" s="102">
        <v>1.6E-2</v>
      </c>
      <c r="D140" s="102">
        <v>2.4E-2</v>
      </c>
    </row>
    <row r="141" spans="2:4" x14ac:dyDescent="0.25">
      <c r="B141" s="101">
        <v>22</v>
      </c>
      <c r="C141" s="102">
        <v>0</v>
      </c>
      <c r="D141" s="102">
        <v>0</v>
      </c>
    </row>
    <row r="142" spans="2:4" x14ac:dyDescent="0.25">
      <c r="B142" s="101">
        <v>23</v>
      </c>
      <c r="C142" s="102">
        <v>0</v>
      </c>
      <c r="D142" s="102">
        <v>0</v>
      </c>
    </row>
    <row r="143" spans="2:4" x14ac:dyDescent="0.25">
      <c r="B143" s="101">
        <v>24</v>
      </c>
      <c r="C143" s="102">
        <v>0</v>
      </c>
      <c r="D143" s="102">
        <v>0</v>
      </c>
    </row>
    <row r="144" spans="2:4" x14ac:dyDescent="0.25">
      <c r="B144" s="101">
        <v>25</v>
      </c>
      <c r="C144" s="102">
        <v>0</v>
      </c>
      <c r="D144" s="102">
        <v>0</v>
      </c>
    </row>
    <row r="145" spans="2:4" x14ac:dyDescent="0.25">
      <c r="B145" s="101">
        <v>26</v>
      </c>
      <c r="C145" s="102">
        <v>0</v>
      </c>
      <c r="D145" s="102">
        <v>0</v>
      </c>
    </row>
    <row r="146" spans="2:4" x14ac:dyDescent="0.25">
      <c r="B146" s="101">
        <v>27</v>
      </c>
      <c r="C146" s="102">
        <v>3.2000000000000001E-2</v>
      </c>
      <c r="D146" s="102">
        <v>4.8000000000000001E-2</v>
      </c>
    </row>
    <row r="147" spans="2:4" x14ac:dyDescent="0.25">
      <c r="B147" s="101">
        <v>28</v>
      </c>
      <c r="C147" s="102">
        <v>0</v>
      </c>
      <c r="D147" s="102">
        <v>0</v>
      </c>
    </row>
    <row r="148" spans="2:4" x14ac:dyDescent="0.25">
      <c r="B148" s="101">
        <v>29</v>
      </c>
      <c r="C148" s="102">
        <v>0</v>
      </c>
      <c r="D148" s="102">
        <v>0</v>
      </c>
    </row>
    <row r="149" spans="2:4" x14ac:dyDescent="0.25">
      <c r="B149" s="101">
        <v>30</v>
      </c>
      <c r="C149" s="102">
        <v>0</v>
      </c>
      <c r="D149" s="102">
        <v>0</v>
      </c>
    </row>
    <row r="150" spans="2:4" x14ac:dyDescent="0.25">
      <c r="B150" s="101">
        <v>31</v>
      </c>
      <c r="C150" s="102">
        <v>0</v>
      </c>
      <c r="D150" s="102">
        <v>0</v>
      </c>
    </row>
    <row r="151" spans="2:4" x14ac:dyDescent="0.25">
      <c r="B151" s="101">
        <v>32</v>
      </c>
      <c r="C151" s="102">
        <v>5.6000000000000008E-2</v>
      </c>
      <c r="D151" s="102">
        <v>8.4000000000000005E-2</v>
      </c>
    </row>
    <row r="152" spans="2:4" x14ac:dyDescent="0.25">
      <c r="B152" s="101">
        <v>33</v>
      </c>
      <c r="C152" s="102">
        <v>0</v>
      </c>
      <c r="D152" s="102">
        <v>0</v>
      </c>
    </row>
    <row r="153" spans="2:4" x14ac:dyDescent="0.25">
      <c r="B153" s="101">
        <v>34</v>
      </c>
      <c r="C153" s="102">
        <v>0</v>
      </c>
      <c r="D153" s="102">
        <v>0</v>
      </c>
    </row>
    <row r="154" spans="2:4" x14ac:dyDescent="0.25">
      <c r="B154" s="101">
        <v>35</v>
      </c>
      <c r="C154" s="102">
        <v>0</v>
      </c>
      <c r="D154" s="102">
        <v>0</v>
      </c>
    </row>
    <row r="155" spans="2:4" x14ac:dyDescent="0.25">
      <c r="B155" s="101">
        <v>36</v>
      </c>
      <c r="C155" s="102">
        <v>0</v>
      </c>
      <c r="D155" s="102">
        <v>0</v>
      </c>
    </row>
    <row r="156" spans="2:4" x14ac:dyDescent="0.25">
      <c r="B156" s="101">
        <v>37</v>
      </c>
      <c r="C156" s="102">
        <v>6.4000000000000001E-2</v>
      </c>
      <c r="D156" s="102">
        <v>9.6000000000000002E-2</v>
      </c>
    </row>
    <row r="157" spans="2:4" x14ac:dyDescent="0.25">
      <c r="B157" s="101">
        <v>38</v>
      </c>
      <c r="C157" s="102">
        <v>0</v>
      </c>
      <c r="D157" s="102">
        <v>0</v>
      </c>
    </row>
    <row r="158" spans="2:4" x14ac:dyDescent="0.25">
      <c r="B158" s="101">
        <v>39</v>
      </c>
      <c r="C158" s="102">
        <v>0</v>
      </c>
      <c r="D158" s="102">
        <v>0</v>
      </c>
    </row>
    <row r="159" spans="2:4" x14ac:dyDescent="0.25">
      <c r="B159" s="101">
        <v>40</v>
      </c>
      <c r="C159" s="102">
        <v>0</v>
      </c>
      <c r="D159" s="102">
        <v>0</v>
      </c>
    </row>
    <row r="160" spans="2:4" x14ac:dyDescent="0.25">
      <c r="B160" s="101">
        <v>41</v>
      </c>
      <c r="C160" s="102">
        <v>0</v>
      </c>
      <c r="D160" s="102">
        <v>0</v>
      </c>
    </row>
    <row r="161" spans="2:4" x14ac:dyDescent="0.25">
      <c r="B161" s="101">
        <v>42</v>
      </c>
      <c r="C161" s="102">
        <v>7.1999999999999995E-2</v>
      </c>
      <c r="D161" s="102">
        <v>0.108</v>
      </c>
    </row>
    <row r="162" spans="2:4" x14ac:dyDescent="0.25">
      <c r="B162" s="101">
        <v>43</v>
      </c>
      <c r="C162" s="102">
        <v>0</v>
      </c>
      <c r="D162" s="102">
        <v>0</v>
      </c>
    </row>
    <row r="163" spans="2:4" x14ac:dyDescent="0.25">
      <c r="B163" s="101">
        <v>44</v>
      </c>
      <c r="C163" s="102">
        <v>0</v>
      </c>
      <c r="D163" s="102">
        <v>0</v>
      </c>
    </row>
    <row r="164" spans="2:4" x14ac:dyDescent="0.25">
      <c r="B164" s="101">
        <v>45</v>
      </c>
      <c r="C164" s="102">
        <v>0</v>
      </c>
      <c r="D164" s="102">
        <v>0</v>
      </c>
    </row>
    <row r="165" spans="2:4" x14ac:dyDescent="0.25">
      <c r="B165" s="101">
        <v>46</v>
      </c>
      <c r="C165" s="102">
        <v>0</v>
      </c>
      <c r="D165" s="102">
        <v>0</v>
      </c>
    </row>
    <row r="166" spans="2:4" x14ac:dyDescent="0.25">
      <c r="B166" s="101">
        <v>47</v>
      </c>
      <c r="C166" s="102">
        <v>0.06</v>
      </c>
      <c r="D166" s="102">
        <v>0.09</v>
      </c>
    </row>
    <row r="167" spans="2:4" x14ac:dyDescent="0.25">
      <c r="B167" s="101">
        <v>48</v>
      </c>
      <c r="C167" s="102">
        <v>0</v>
      </c>
      <c r="D167" s="102">
        <v>0</v>
      </c>
    </row>
    <row r="168" spans="2:4" x14ac:dyDescent="0.25">
      <c r="B168" s="101">
        <v>49</v>
      </c>
      <c r="C168" s="102">
        <v>0</v>
      </c>
      <c r="D168" s="102">
        <v>0</v>
      </c>
    </row>
    <row r="169" spans="2:4" x14ac:dyDescent="0.25">
      <c r="B169" s="101">
        <v>50</v>
      </c>
      <c r="C169" s="102">
        <v>0</v>
      </c>
      <c r="D169" s="102">
        <v>0</v>
      </c>
    </row>
    <row r="170" spans="2:4" x14ac:dyDescent="0.25">
      <c r="B170" s="101">
        <v>51</v>
      </c>
      <c r="C170" s="102">
        <v>0</v>
      </c>
      <c r="D170" s="102">
        <v>0</v>
      </c>
    </row>
    <row r="171" spans="2:4" x14ac:dyDescent="0.25">
      <c r="B171" s="101">
        <v>52</v>
      </c>
      <c r="C171" s="102">
        <v>4.8000000000000001E-2</v>
      </c>
      <c r="D171" s="102">
        <v>7.1999999999999995E-2</v>
      </c>
    </row>
    <row r="172" spans="2:4" x14ac:dyDescent="0.25">
      <c r="B172" s="101">
        <v>53</v>
      </c>
      <c r="C172" s="102">
        <v>0</v>
      </c>
      <c r="D172" s="102">
        <v>0</v>
      </c>
    </row>
    <row r="173" spans="2:4" x14ac:dyDescent="0.25">
      <c r="B173" s="101">
        <v>54</v>
      </c>
      <c r="C173" s="102">
        <v>0</v>
      </c>
      <c r="D173" s="102">
        <v>0</v>
      </c>
    </row>
    <row r="174" spans="2:4" x14ac:dyDescent="0.25">
      <c r="B174" s="101">
        <v>55</v>
      </c>
      <c r="C174" s="102">
        <v>0</v>
      </c>
      <c r="D174" s="102">
        <v>0</v>
      </c>
    </row>
    <row r="175" spans="2:4" x14ac:dyDescent="0.25">
      <c r="B175" s="101">
        <v>56</v>
      </c>
      <c r="C175" s="102">
        <v>0</v>
      </c>
      <c r="D175" s="102">
        <v>0</v>
      </c>
    </row>
    <row r="176" spans="2:4" x14ac:dyDescent="0.25">
      <c r="B176" s="101">
        <v>57</v>
      </c>
      <c r="C176" s="102">
        <v>3.4000000000000002E-2</v>
      </c>
      <c r="D176" s="102">
        <v>5.1000000000000004E-2</v>
      </c>
    </row>
    <row r="177" spans="2:4" x14ac:dyDescent="0.25">
      <c r="B177" s="101">
        <v>58</v>
      </c>
      <c r="C177" s="102">
        <v>0</v>
      </c>
      <c r="D177" s="102">
        <v>0</v>
      </c>
    </row>
    <row r="178" spans="2:4" x14ac:dyDescent="0.25">
      <c r="B178" s="101">
        <v>59</v>
      </c>
      <c r="C178" s="102">
        <v>0</v>
      </c>
      <c r="D178" s="102">
        <v>0</v>
      </c>
    </row>
    <row r="179" spans="2:4" x14ac:dyDescent="0.25">
      <c r="B179" s="101">
        <v>60</v>
      </c>
      <c r="C179" s="102">
        <v>0</v>
      </c>
      <c r="D179" s="102">
        <v>0</v>
      </c>
    </row>
    <row r="180" spans="2:4" x14ac:dyDescent="0.25">
      <c r="B180" s="101">
        <v>61</v>
      </c>
      <c r="C180" s="102">
        <v>0</v>
      </c>
      <c r="D180" s="102">
        <v>0</v>
      </c>
    </row>
    <row r="181" spans="2:4" x14ac:dyDescent="0.25">
      <c r="B181" s="101">
        <v>62</v>
      </c>
      <c r="C181" s="102">
        <v>1.2E-2</v>
      </c>
      <c r="D181" s="102">
        <v>1.7999999999999999E-2</v>
      </c>
    </row>
    <row r="182" spans="2:4" x14ac:dyDescent="0.25">
      <c r="B182" s="101">
        <v>63</v>
      </c>
      <c r="C182" s="102">
        <v>0</v>
      </c>
      <c r="D182" s="102">
        <v>0</v>
      </c>
    </row>
    <row r="183" spans="2:4" x14ac:dyDescent="0.25">
      <c r="B183" s="101">
        <v>64</v>
      </c>
      <c r="C183" s="102">
        <v>0</v>
      </c>
      <c r="D183" s="102">
        <v>0</v>
      </c>
    </row>
    <row r="184" spans="2:4" x14ac:dyDescent="0.25">
      <c r="B184" s="101">
        <v>65</v>
      </c>
      <c r="C184" s="102">
        <v>0</v>
      </c>
      <c r="D184" s="102">
        <v>0</v>
      </c>
    </row>
    <row r="185" spans="2:4" x14ac:dyDescent="0.25">
      <c r="B185" s="101">
        <v>66</v>
      </c>
      <c r="C185" s="102">
        <v>0</v>
      </c>
      <c r="D185" s="102">
        <v>0</v>
      </c>
    </row>
    <row r="186" spans="2:4" x14ac:dyDescent="0.25">
      <c r="B186" s="101">
        <v>67</v>
      </c>
      <c r="C186" s="102">
        <v>4.0000000000000001E-3</v>
      </c>
      <c r="D186" s="102">
        <v>6.0000000000000001E-3</v>
      </c>
    </row>
    <row r="187" spans="2:4" x14ac:dyDescent="0.25">
      <c r="B187" s="101">
        <v>68</v>
      </c>
      <c r="C187" s="102">
        <v>0</v>
      </c>
      <c r="D187" s="102">
        <v>0</v>
      </c>
    </row>
    <row r="188" spans="2:4" x14ac:dyDescent="0.25">
      <c r="B188" s="101">
        <v>69</v>
      </c>
      <c r="C188" s="102">
        <v>0</v>
      </c>
      <c r="D188" s="102">
        <v>0</v>
      </c>
    </row>
    <row r="189" spans="2:4" x14ac:dyDescent="0.25">
      <c r="B189" s="103">
        <v>70</v>
      </c>
      <c r="C189" s="104">
        <v>1.9999999999999996E-3</v>
      </c>
      <c r="D189" s="104">
        <v>2.9999999999999996E-3</v>
      </c>
    </row>
    <row r="192" spans="2:4" x14ac:dyDescent="0.3">
      <c r="B192" s="105"/>
      <c r="C192" s="105"/>
    </row>
    <row r="193" spans="2:3" x14ac:dyDescent="0.25">
      <c r="B193" s="321" t="s">
        <v>1214</v>
      </c>
      <c r="C193" s="321"/>
    </row>
    <row r="194" spans="2:3" x14ac:dyDescent="0.25">
      <c r="B194" s="98" t="s">
        <v>45</v>
      </c>
      <c r="C194" s="99" t="s">
        <v>46</v>
      </c>
    </row>
    <row r="195" spans="2:3" x14ac:dyDescent="0.25">
      <c r="B195" s="106">
        <v>10000</v>
      </c>
      <c r="C195" s="106">
        <v>10000</v>
      </c>
    </row>
    <row r="196" spans="2:3" x14ac:dyDescent="0.25">
      <c r="B196" s="106" t="s">
        <v>500</v>
      </c>
      <c r="C196" s="106">
        <v>13000</v>
      </c>
    </row>
    <row r="197" spans="2:3" x14ac:dyDescent="0.25">
      <c r="B197" s="106" t="s">
        <v>499</v>
      </c>
      <c r="C197" s="106">
        <v>15000</v>
      </c>
    </row>
    <row r="198" spans="2:3" x14ac:dyDescent="0.25">
      <c r="B198" s="106" t="s">
        <v>501</v>
      </c>
      <c r="C198" s="106">
        <v>19500</v>
      </c>
    </row>
    <row r="199" spans="2:3" x14ac:dyDescent="0.25">
      <c r="B199" s="106" t="s">
        <v>502</v>
      </c>
      <c r="C199" s="106">
        <v>26500</v>
      </c>
    </row>
    <row r="200" spans="2:3" x14ac:dyDescent="0.25">
      <c r="B200" s="106" t="s">
        <v>503</v>
      </c>
      <c r="C200" s="106">
        <v>31000</v>
      </c>
    </row>
    <row r="201" spans="2:3" x14ac:dyDescent="0.25">
      <c r="B201" s="106" t="s">
        <v>504</v>
      </c>
      <c r="C201" s="106">
        <v>33000</v>
      </c>
    </row>
    <row r="202" spans="2:3" x14ac:dyDescent="0.25">
      <c r="B202" s="106" t="s">
        <v>505</v>
      </c>
      <c r="C202" s="106">
        <v>33000</v>
      </c>
    </row>
    <row r="203" spans="2:3" x14ac:dyDescent="0.25">
      <c r="B203" s="106" t="s">
        <v>506</v>
      </c>
      <c r="C203" s="106">
        <v>33000</v>
      </c>
    </row>
    <row r="204" spans="2:3" x14ac:dyDescent="0.25">
      <c r="B204" s="107" t="s">
        <v>507</v>
      </c>
      <c r="C204" s="107">
        <v>33000</v>
      </c>
    </row>
    <row r="208" spans="2:3" x14ac:dyDescent="0.25">
      <c r="B208" s="321" t="s">
        <v>1215</v>
      </c>
      <c r="C208" s="321"/>
    </row>
    <row r="209" spans="2:3" x14ac:dyDescent="0.25">
      <c r="B209" s="98" t="s">
        <v>45</v>
      </c>
      <c r="C209" s="99" t="s">
        <v>46</v>
      </c>
    </row>
    <row r="210" spans="2:3" x14ac:dyDescent="0.25">
      <c r="B210" s="108">
        <v>10000</v>
      </c>
      <c r="C210" s="108">
        <v>10000</v>
      </c>
    </row>
    <row r="211" spans="2:3" x14ac:dyDescent="0.25">
      <c r="B211" s="109" t="s">
        <v>500</v>
      </c>
      <c r="C211" s="109">
        <v>16500</v>
      </c>
    </row>
    <row r="212" spans="2:3" x14ac:dyDescent="0.25">
      <c r="B212" s="109" t="s">
        <v>499</v>
      </c>
      <c r="C212" s="109">
        <v>17800</v>
      </c>
    </row>
    <row r="213" spans="2:3" x14ac:dyDescent="0.25">
      <c r="B213" s="109" t="s">
        <v>501</v>
      </c>
      <c r="C213" s="109">
        <v>19000</v>
      </c>
    </row>
    <row r="214" spans="2:3" x14ac:dyDescent="0.25">
      <c r="B214" s="107" t="s">
        <v>502</v>
      </c>
      <c r="C214" s="107">
        <v>20500</v>
      </c>
    </row>
  </sheetData>
  <mergeCells count="9">
    <mergeCell ref="B208:C208"/>
    <mergeCell ref="B4:C4"/>
    <mergeCell ref="B25:C25"/>
    <mergeCell ref="B193:C193"/>
    <mergeCell ref="B40:C40"/>
    <mergeCell ref="B113:C113"/>
    <mergeCell ref="B119:C119"/>
    <mergeCell ref="B135:D135"/>
    <mergeCell ref="B98:C9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1B75D-090B-428F-973C-202059267982}">
  <dimension ref="B4:C153"/>
  <sheetViews>
    <sheetView zoomScale="85" zoomScaleNormal="85" workbookViewId="0">
      <selection activeCell="E4" sqref="E4"/>
    </sheetView>
  </sheetViews>
  <sheetFormatPr defaultColWidth="8.85546875" defaultRowHeight="15.75" x14ac:dyDescent="0.25"/>
  <cols>
    <col min="1" max="1" style="28" width="8.85546875" collapsed="true"/>
    <col min="2" max="2" bestFit="true" customWidth="true" style="28" width="29.42578125" collapsed="true"/>
    <col min="3" max="3" customWidth="true" style="28" width="123.0" collapsed="true"/>
    <col min="4" max="4" customWidth="true" style="28" width="5.42578125" collapsed="true"/>
    <col min="5" max="7" style="28" width="8.85546875" collapsed="true"/>
    <col min="8" max="8" customWidth="true" style="28" width="54.42578125" collapsed="true"/>
    <col min="9" max="9" customWidth="true" style="28" width="58.5703125" collapsed="true"/>
    <col min="10" max="16384" style="28" width="8.85546875" collapsed="true"/>
  </cols>
  <sheetData>
    <row r="4" spans="2:3" ht="34.35" customHeight="1" x14ac:dyDescent="0.25">
      <c r="B4" s="320" t="s">
        <v>1221</v>
      </c>
      <c r="C4" s="320"/>
    </row>
    <row r="5" spans="2:3" x14ac:dyDescent="0.25">
      <c r="B5" s="77" t="s">
        <v>4</v>
      </c>
      <c r="C5" s="78" t="s">
        <v>5</v>
      </c>
    </row>
    <row r="6" spans="2:3" x14ac:dyDescent="0.25">
      <c r="B6" s="62" t="s">
        <v>248</v>
      </c>
      <c r="C6" s="51" t="s">
        <v>10</v>
      </c>
    </row>
    <row r="7" spans="2:3" x14ac:dyDescent="0.25">
      <c r="B7" s="62" t="s">
        <v>247</v>
      </c>
      <c r="C7" s="51" t="s">
        <v>34</v>
      </c>
    </row>
    <row r="8" spans="2:3" x14ac:dyDescent="0.25">
      <c r="B8" s="73" t="s">
        <v>381</v>
      </c>
      <c r="C8" s="51" t="s">
        <v>397</v>
      </c>
    </row>
    <row r="9" spans="2:3" x14ac:dyDescent="0.25">
      <c r="B9" s="73" t="s">
        <v>388</v>
      </c>
      <c r="C9" s="51" t="s">
        <v>524</v>
      </c>
    </row>
    <row r="10" spans="2:3" ht="31.5" x14ac:dyDescent="0.25">
      <c r="B10" s="73" t="s">
        <v>389</v>
      </c>
      <c r="C10" s="51" t="s">
        <v>1138</v>
      </c>
    </row>
    <row r="11" spans="2:3" ht="15.6" customHeight="1" x14ac:dyDescent="0.25">
      <c r="B11" s="73" t="s">
        <v>1007</v>
      </c>
      <c r="C11" s="51" t="s">
        <v>1043</v>
      </c>
    </row>
    <row r="12" spans="2:3" x14ac:dyDescent="0.25">
      <c r="B12" s="62" t="s">
        <v>272</v>
      </c>
      <c r="C12" s="51" t="s">
        <v>466</v>
      </c>
    </row>
    <row r="13" spans="2:3" x14ac:dyDescent="0.25">
      <c r="B13" s="82" t="s">
        <v>434</v>
      </c>
      <c r="C13" s="64" t="s">
        <v>1112</v>
      </c>
    </row>
    <row r="14" spans="2:3" x14ac:dyDescent="0.25">
      <c r="B14" s="62" t="s">
        <v>249</v>
      </c>
      <c r="C14" s="51" t="s">
        <v>465</v>
      </c>
    </row>
    <row r="15" spans="2:3" ht="19.350000000000001" customHeight="1" x14ac:dyDescent="0.25">
      <c r="B15" s="62" t="s">
        <v>996</v>
      </c>
      <c r="C15" s="51" t="s">
        <v>1037</v>
      </c>
    </row>
    <row r="16" spans="2:3" x14ac:dyDescent="0.25">
      <c r="B16" s="75" t="s">
        <v>271</v>
      </c>
      <c r="C16" s="117" t="s">
        <v>1036</v>
      </c>
    </row>
    <row r="19" spans="2:3" ht="41.45" customHeight="1" x14ac:dyDescent="0.25">
      <c r="B19" s="323" t="s">
        <v>1220</v>
      </c>
      <c r="C19" s="324"/>
    </row>
    <row r="20" spans="2:3" x14ac:dyDescent="0.25">
      <c r="B20" s="77" t="s">
        <v>4</v>
      </c>
      <c r="C20" s="78" t="s">
        <v>5</v>
      </c>
    </row>
    <row r="21" spans="2:3" x14ac:dyDescent="0.25">
      <c r="B21" s="114" t="s">
        <v>73</v>
      </c>
      <c r="C21" s="115" t="s">
        <v>74</v>
      </c>
    </row>
    <row r="22" spans="2:3" x14ac:dyDescent="0.25">
      <c r="B22" s="62" t="s">
        <v>248</v>
      </c>
      <c r="C22" s="51" t="s">
        <v>10</v>
      </c>
    </row>
    <row r="23" spans="2:3" x14ac:dyDescent="0.25">
      <c r="B23" s="62" t="s">
        <v>247</v>
      </c>
      <c r="C23" s="51" t="s">
        <v>34</v>
      </c>
    </row>
    <row r="24" spans="2:3" x14ac:dyDescent="0.25">
      <c r="B24" s="73" t="s">
        <v>381</v>
      </c>
      <c r="C24" s="51" t="s">
        <v>562</v>
      </c>
    </row>
    <row r="25" spans="2:3" ht="13.7" customHeight="1" x14ac:dyDescent="0.25">
      <c r="B25" s="73" t="s">
        <v>382</v>
      </c>
      <c r="C25" s="51" t="s">
        <v>521</v>
      </c>
    </row>
    <row r="26" spans="2:3" ht="47.25" x14ac:dyDescent="0.25">
      <c r="B26" s="73" t="s">
        <v>522</v>
      </c>
      <c r="C26" s="51" t="s">
        <v>618</v>
      </c>
    </row>
    <row r="27" spans="2:3" x14ac:dyDescent="0.25">
      <c r="B27" s="73" t="s">
        <v>71</v>
      </c>
      <c r="C27" s="51" t="s">
        <v>72</v>
      </c>
    </row>
    <row r="28" spans="2:3" x14ac:dyDescent="0.25">
      <c r="B28" s="73" t="s">
        <v>69</v>
      </c>
      <c r="C28" s="51" t="s">
        <v>70</v>
      </c>
    </row>
    <row r="29" spans="2:3" x14ac:dyDescent="0.25">
      <c r="B29" s="73" t="s">
        <v>98</v>
      </c>
      <c r="C29" s="51" t="s">
        <v>244</v>
      </c>
    </row>
    <row r="30" spans="2:3" ht="31.5" x14ac:dyDescent="0.25">
      <c r="B30" s="73" t="s">
        <v>441</v>
      </c>
      <c r="C30" s="51" t="s">
        <v>1294</v>
      </c>
    </row>
    <row r="31" spans="2:3" ht="47.25" x14ac:dyDescent="0.25">
      <c r="B31" s="73" t="s">
        <v>403</v>
      </c>
      <c r="C31" s="51" t="s">
        <v>581</v>
      </c>
    </row>
    <row r="32" spans="2:3" ht="31.5" x14ac:dyDescent="0.25">
      <c r="B32" s="73" t="s">
        <v>748</v>
      </c>
      <c r="C32" s="51" t="s">
        <v>750</v>
      </c>
    </row>
    <row r="33" spans="2:3" ht="47.25" x14ac:dyDescent="0.25">
      <c r="B33" s="73" t="s">
        <v>440</v>
      </c>
      <c r="C33" s="51" t="s">
        <v>611</v>
      </c>
    </row>
    <row r="34" spans="2:3" ht="47.25" x14ac:dyDescent="0.25">
      <c r="B34" s="73" t="s">
        <v>444</v>
      </c>
      <c r="C34" s="51" t="s">
        <v>612</v>
      </c>
    </row>
    <row r="35" spans="2:3" ht="47.25" x14ac:dyDescent="0.25">
      <c r="B35" s="73" t="s">
        <v>446</v>
      </c>
      <c r="C35" s="51" t="s">
        <v>1119</v>
      </c>
    </row>
    <row r="36" spans="2:3" x14ac:dyDescent="0.25">
      <c r="B36" s="62" t="s">
        <v>17</v>
      </c>
      <c r="C36" s="51" t="s">
        <v>384</v>
      </c>
    </row>
    <row r="37" spans="2:3" x14ac:dyDescent="0.25">
      <c r="B37" s="62" t="s">
        <v>271</v>
      </c>
      <c r="C37" s="51" t="s">
        <v>443</v>
      </c>
    </row>
    <row r="38" spans="2:3" x14ac:dyDescent="0.25">
      <c r="B38" s="82" t="s">
        <v>436</v>
      </c>
      <c r="C38" s="64" t="s">
        <v>445</v>
      </c>
    </row>
    <row r="39" spans="2:3" x14ac:dyDescent="0.25">
      <c r="B39" s="62" t="s">
        <v>272</v>
      </c>
      <c r="C39" s="51" t="s">
        <v>523</v>
      </c>
    </row>
    <row r="40" spans="2:3" x14ac:dyDescent="0.25">
      <c r="B40" s="62" t="s">
        <v>249</v>
      </c>
      <c r="C40" s="51" t="s">
        <v>447</v>
      </c>
    </row>
    <row r="41" spans="2:3" x14ac:dyDescent="0.25">
      <c r="B41" s="63" t="s">
        <v>434</v>
      </c>
      <c r="C41" s="117" t="s">
        <v>511</v>
      </c>
    </row>
    <row r="45" spans="2:3" ht="45.6" customHeight="1" x14ac:dyDescent="0.25">
      <c r="B45" s="324" t="s">
        <v>1219</v>
      </c>
      <c r="C45" s="324"/>
    </row>
    <row r="46" spans="2:3" x14ac:dyDescent="0.25">
      <c r="B46" s="77" t="s">
        <v>4</v>
      </c>
      <c r="C46" s="78" t="s">
        <v>5</v>
      </c>
    </row>
    <row r="47" spans="2:3" x14ac:dyDescent="0.25">
      <c r="B47" s="114" t="s">
        <v>73</v>
      </c>
      <c r="C47" s="115" t="s">
        <v>74</v>
      </c>
    </row>
    <row r="48" spans="2:3" x14ac:dyDescent="0.25">
      <c r="B48" s="62" t="s">
        <v>248</v>
      </c>
      <c r="C48" s="51" t="s">
        <v>10</v>
      </c>
    </row>
    <row r="49" spans="2:3" x14ac:dyDescent="0.25">
      <c r="B49" s="62" t="s">
        <v>247</v>
      </c>
      <c r="C49" s="51" t="s">
        <v>34</v>
      </c>
    </row>
    <row r="50" spans="2:3" x14ac:dyDescent="0.25">
      <c r="B50" s="73" t="s">
        <v>537</v>
      </c>
      <c r="C50" s="51" t="s">
        <v>538</v>
      </c>
    </row>
    <row r="51" spans="2:3" x14ac:dyDescent="0.25">
      <c r="B51" s="73" t="s">
        <v>381</v>
      </c>
      <c r="C51" s="51" t="s">
        <v>550</v>
      </c>
    </row>
    <row r="52" spans="2:3" x14ac:dyDescent="0.25">
      <c r="B52" s="73" t="s">
        <v>382</v>
      </c>
      <c r="C52" s="51" t="s">
        <v>383</v>
      </c>
    </row>
    <row r="53" spans="2:3" x14ac:dyDescent="0.25">
      <c r="B53" s="73" t="s">
        <v>71</v>
      </c>
      <c r="C53" s="51" t="s">
        <v>483</v>
      </c>
    </row>
    <row r="54" spans="2:3" x14ac:dyDescent="0.25">
      <c r="B54" s="73" t="s">
        <v>98</v>
      </c>
      <c r="C54" s="51" t="s">
        <v>610</v>
      </c>
    </row>
    <row r="55" spans="2:3" ht="31.5" x14ac:dyDescent="0.25">
      <c r="B55" s="73" t="s">
        <v>441</v>
      </c>
      <c r="C55" s="51" t="s">
        <v>1289</v>
      </c>
    </row>
    <row r="56" spans="2:3" x14ac:dyDescent="0.25">
      <c r="B56" s="73" t="s">
        <v>440</v>
      </c>
      <c r="C56" s="51" t="s">
        <v>1290</v>
      </c>
    </row>
    <row r="57" spans="2:3" x14ac:dyDescent="0.25">
      <c r="B57" s="73" t="s">
        <v>444</v>
      </c>
      <c r="C57" s="51" t="s">
        <v>1291</v>
      </c>
    </row>
    <row r="58" spans="2:3" x14ac:dyDescent="0.25">
      <c r="B58" s="73" t="s">
        <v>446</v>
      </c>
      <c r="C58" s="51" t="s">
        <v>1292</v>
      </c>
    </row>
    <row r="59" spans="2:3" x14ac:dyDescent="0.25">
      <c r="B59" s="73" t="s">
        <v>17</v>
      </c>
      <c r="C59" s="51" t="s">
        <v>384</v>
      </c>
    </row>
    <row r="60" spans="2:3" ht="31.5" x14ac:dyDescent="0.25">
      <c r="B60" s="73" t="s">
        <v>522</v>
      </c>
      <c r="C60" s="51" t="s">
        <v>560</v>
      </c>
    </row>
    <row r="61" spans="2:3" x14ac:dyDescent="0.25">
      <c r="B61" s="62" t="s">
        <v>271</v>
      </c>
      <c r="C61" s="51" t="s">
        <v>443</v>
      </c>
    </row>
    <row r="62" spans="2:3" x14ac:dyDescent="0.25">
      <c r="B62" s="82" t="s">
        <v>436</v>
      </c>
      <c r="C62" s="64" t="s">
        <v>445</v>
      </c>
    </row>
    <row r="63" spans="2:3" x14ac:dyDescent="0.25">
      <c r="B63" s="62" t="s">
        <v>272</v>
      </c>
      <c r="C63" s="51" t="s">
        <v>523</v>
      </c>
    </row>
    <row r="64" spans="2:3" x14ac:dyDescent="0.25">
      <c r="B64" s="85" t="s">
        <v>249</v>
      </c>
      <c r="C64" s="86" t="s">
        <v>447</v>
      </c>
    </row>
    <row r="65" spans="2:3" x14ac:dyDescent="0.25">
      <c r="B65" s="63" t="s">
        <v>434</v>
      </c>
      <c r="C65" s="118" t="s">
        <v>511</v>
      </c>
    </row>
    <row r="69" spans="2:3" ht="31.7" customHeight="1" x14ac:dyDescent="0.25">
      <c r="B69" s="320" t="s">
        <v>1218</v>
      </c>
      <c r="C69" s="320" t="s">
        <v>472</v>
      </c>
    </row>
    <row r="70" spans="2:3" x14ac:dyDescent="0.25">
      <c r="B70" s="119" t="s">
        <v>4</v>
      </c>
      <c r="C70" s="120" t="s">
        <v>5</v>
      </c>
    </row>
    <row r="71" spans="2:3" x14ac:dyDescent="0.25">
      <c r="B71" s="121" t="s">
        <v>73</v>
      </c>
      <c r="C71" s="122" t="s">
        <v>74</v>
      </c>
    </row>
    <row r="72" spans="2:3" x14ac:dyDescent="0.25">
      <c r="B72" s="62" t="s">
        <v>248</v>
      </c>
      <c r="C72" s="51" t="s">
        <v>10</v>
      </c>
    </row>
    <row r="73" spans="2:3" x14ac:dyDescent="0.25">
      <c r="B73" s="62" t="s">
        <v>247</v>
      </c>
      <c r="C73" s="51" t="s">
        <v>34</v>
      </c>
    </row>
    <row r="74" spans="2:3" x14ac:dyDescent="0.25">
      <c r="B74" s="73" t="s">
        <v>467</v>
      </c>
      <c r="C74" s="51" t="s">
        <v>468</v>
      </c>
    </row>
    <row r="75" spans="2:3" x14ac:dyDescent="0.25">
      <c r="B75" s="73" t="s">
        <v>381</v>
      </c>
      <c r="C75" s="51" t="s">
        <v>469</v>
      </c>
    </row>
    <row r="76" spans="2:3" x14ac:dyDescent="0.25">
      <c r="B76" s="73" t="s">
        <v>474</v>
      </c>
      <c r="C76" s="51" t="s">
        <v>473</v>
      </c>
    </row>
    <row r="77" spans="2:3" x14ac:dyDescent="0.25">
      <c r="B77" s="73" t="s">
        <v>277</v>
      </c>
      <c r="C77" s="277" t="s">
        <v>1190</v>
      </c>
    </row>
    <row r="78" spans="2:3" x14ac:dyDescent="0.25">
      <c r="B78" s="73" t="s">
        <v>276</v>
      </c>
      <c r="C78" s="277" t="s">
        <v>1191</v>
      </c>
    </row>
    <row r="79" spans="2:3" x14ac:dyDescent="0.25">
      <c r="B79" s="73" t="s">
        <v>389</v>
      </c>
      <c r="C79" s="51" t="s">
        <v>528</v>
      </c>
    </row>
    <row r="80" spans="2:3" x14ac:dyDescent="0.25">
      <c r="B80" s="73" t="s">
        <v>1007</v>
      </c>
      <c r="C80" s="51" t="s">
        <v>1045</v>
      </c>
    </row>
    <row r="81" spans="2:3" x14ac:dyDescent="0.25">
      <c r="B81" s="62" t="s">
        <v>272</v>
      </c>
      <c r="C81" s="51" t="s">
        <v>530</v>
      </c>
    </row>
    <row r="82" spans="2:3" x14ac:dyDescent="0.25">
      <c r="B82" s="62" t="s">
        <v>249</v>
      </c>
      <c r="C82" s="51" t="s">
        <v>535</v>
      </c>
    </row>
    <row r="83" spans="2:3" x14ac:dyDescent="0.25">
      <c r="B83" s="73" t="s">
        <v>996</v>
      </c>
      <c r="C83" s="51" t="s">
        <v>1038</v>
      </c>
    </row>
    <row r="84" spans="2:3" x14ac:dyDescent="0.25">
      <c r="B84" s="275" t="s">
        <v>434</v>
      </c>
      <c r="C84" s="64" t="s">
        <v>435</v>
      </c>
    </row>
    <row r="85" spans="2:3" x14ac:dyDescent="0.25">
      <c r="B85" s="75" t="s">
        <v>271</v>
      </c>
      <c r="C85" s="117" t="s">
        <v>1129</v>
      </c>
    </row>
    <row r="86" spans="2:3" customFormat="1" ht="15" x14ac:dyDescent="0.25"/>
    <row r="87" spans="2:3" customFormat="1" ht="15" x14ac:dyDescent="0.25"/>
    <row r="88" spans="2:3" customFormat="1" ht="15" x14ac:dyDescent="0.25"/>
    <row r="89" spans="2:3" customFormat="1" ht="15" x14ac:dyDescent="0.25"/>
    <row r="90" spans="2:3" ht="42" customHeight="1" x14ac:dyDescent="0.25">
      <c r="B90" s="323" t="s">
        <v>1217</v>
      </c>
      <c r="C90" s="323" t="s">
        <v>536</v>
      </c>
    </row>
    <row r="91" spans="2:3" x14ac:dyDescent="0.25">
      <c r="B91" s="77" t="s">
        <v>4</v>
      </c>
      <c r="C91" s="78" t="s">
        <v>5</v>
      </c>
    </row>
    <row r="92" spans="2:3" x14ac:dyDescent="0.25">
      <c r="B92" s="114" t="s">
        <v>73</v>
      </c>
      <c r="C92" s="115" t="s">
        <v>74</v>
      </c>
    </row>
    <row r="93" spans="2:3" x14ac:dyDescent="0.25">
      <c r="B93" s="62" t="s">
        <v>248</v>
      </c>
      <c r="C93" s="51" t="s">
        <v>10</v>
      </c>
    </row>
    <row r="94" spans="2:3" x14ac:dyDescent="0.25">
      <c r="B94" s="62" t="s">
        <v>247</v>
      </c>
      <c r="C94" s="51" t="s">
        <v>34</v>
      </c>
    </row>
    <row r="95" spans="2:3" x14ac:dyDescent="0.25">
      <c r="B95" s="73" t="s">
        <v>344</v>
      </c>
      <c r="C95" s="51" t="s">
        <v>347</v>
      </c>
    </row>
    <row r="96" spans="2:3" x14ac:dyDescent="0.25">
      <c r="B96" s="73" t="s">
        <v>348</v>
      </c>
      <c r="C96" s="51" t="s">
        <v>349</v>
      </c>
    </row>
    <row r="97" spans="2:3" x14ac:dyDescent="0.25">
      <c r="B97" s="73" t="s">
        <v>537</v>
      </c>
      <c r="C97" s="51" t="s">
        <v>538</v>
      </c>
    </row>
    <row r="98" spans="2:3" x14ac:dyDescent="0.25">
      <c r="B98" s="116" t="s">
        <v>16</v>
      </c>
      <c r="C98" s="116"/>
    </row>
    <row r="99" spans="2:3" x14ac:dyDescent="0.25">
      <c r="B99" s="73" t="s">
        <v>404</v>
      </c>
      <c r="C99" s="65" t="s">
        <v>442</v>
      </c>
    </row>
    <row r="100" spans="2:3" x14ac:dyDescent="0.25">
      <c r="B100" s="73" t="s">
        <v>17</v>
      </c>
      <c r="C100" s="65" t="s">
        <v>550</v>
      </c>
    </row>
    <row r="101" spans="2:3" x14ac:dyDescent="0.25">
      <c r="B101" s="73" t="s">
        <v>405</v>
      </c>
      <c r="C101" s="65" t="s">
        <v>406</v>
      </c>
    </row>
    <row r="102" spans="2:3" x14ac:dyDescent="0.25">
      <c r="B102" s="73" t="s">
        <v>71</v>
      </c>
      <c r="C102" s="65" t="s">
        <v>480</v>
      </c>
    </row>
    <row r="103" spans="2:3" x14ac:dyDescent="0.25">
      <c r="B103" s="73" t="s">
        <v>69</v>
      </c>
      <c r="C103" s="65" t="s">
        <v>479</v>
      </c>
    </row>
    <row r="104" spans="2:3" x14ac:dyDescent="0.25">
      <c r="B104" s="73" t="s">
        <v>98</v>
      </c>
      <c r="C104" s="65" t="s">
        <v>244</v>
      </c>
    </row>
    <row r="105" spans="2:3" ht="31.5" x14ac:dyDescent="0.25">
      <c r="B105" s="73" t="s">
        <v>441</v>
      </c>
      <c r="C105" s="65" t="s">
        <v>1294</v>
      </c>
    </row>
    <row r="106" spans="2:3" ht="47.25" x14ac:dyDescent="0.25">
      <c r="B106" s="73" t="s">
        <v>403</v>
      </c>
      <c r="C106" s="51" t="s">
        <v>1061</v>
      </c>
    </row>
    <row r="107" spans="2:3" ht="47.25" x14ac:dyDescent="0.25">
      <c r="B107" s="73" t="s">
        <v>440</v>
      </c>
      <c r="C107" s="51" t="s">
        <v>608</v>
      </c>
    </row>
    <row r="108" spans="2:3" ht="47.25" x14ac:dyDescent="0.25">
      <c r="B108" s="73" t="s">
        <v>444</v>
      </c>
      <c r="C108" s="51" t="s">
        <v>609</v>
      </c>
    </row>
    <row r="109" spans="2:3" ht="47.25" x14ac:dyDescent="0.25">
      <c r="B109" s="73" t="s">
        <v>446</v>
      </c>
      <c r="C109" s="51" t="s">
        <v>1115</v>
      </c>
    </row>
    <row r="110" spans="2:3" x14ac:dyDescent="0.25">
      <c r="B110" s="123" t="s">
        <v>433</v>
      </c>
      <c r="C110" s="124"/>
    </row>
    <row r="111" spans="2:3" x14ac:dyDescent="0.25">
      <c r="B111" s="81" t="s">
        <v>271</v>
      </c>
      <c r="C111" s="74" t="s">
        <v>443</v>
      </c>
    </row>
    <row r="112" spans="2:3" x14ac:dyDescent="0.25">
      <c r="B112" s="82" t="s">
        <v>436</v>
      </c>
      <c r="C112" s="125" t="s">
        <v>539</v>
      </c>
    </row>
    <row r="113" spans="2:3" x14ac:dyDescent="0.25">
      <c r="B113" s="81" t="s">
        <v>272</v>
      </c>
      <c r="C113" s="74" t="s">
        <v>540</v>
      </c>
    </row>
    <row r="114" spans="2:3" x14ac:dyDescent="0.25">
      <c r="B114" s="126" t="s">
        <v>249</v>
      </c>
      <c r="C114" s="76" t="s">
        <v>447</v>
      </c>
    </row>
    <row r="115" spans="2:3" x14ac:dyDescent="0.25">
      <c r="B115" s="63" t="s">
        <v>434</v>
      </c>
      <c r="C115" s="127" t="s">
        <v>435</v>
      </c>
    </row>
    <row r="119" spans="2:3" ht="43.7" customHeight="1" x14ac:dyDescent="0.25">
      <c r="B119" s="323" t="s">
        <v>1216</v>
      </c>
      <c r="C119" s="323" t="s">
        <v>520</v>
      </c>
    </row>
    <row r="120" spans="2:3" x14ac:dyDescent="0.25">
      <c r="B120" s="77" t="s">
        <v>4</v>
      </c>
      <c r="C120" s="78" t="s">
        <v>5</v>
      </c>
    </row>
    <row r="121" spans="2:3" x14ac:dyDescent="0.25">
      <c r="B121" s="114" t="s">
        <v>73</v>
      </c>
      <c r="C121" s="115" t="s">
        <v>74</v>
      </c>
    </row>
    <row r="122" spans="2:3" x14ac:dyDescent="0.25">
      <c r="B122" s="62" t="s">
        <v>248</v>
      </c>
      <c r="C122" s="51" t="s">
        <v>558</v>
      </c>
    </row>
    <row r="123" spans="2:3" x14ac:dyDescent="0.25">
      <c r="B123" s="62" t="s">
        <v>247</v>
      </c>
      <c r="C123" s="51" t="s">
        <v>557</v>
      </c>
    </row>
    <row r="124" spans="2:3" x14ac:dyDescent="0.25">
      <c r="B124" s="73" t="s">
        <v>543</v>
      </c>
      <c r="C124" s="51" t="s">
        <v>548</v>
      </c>
    </row>
    <row r="125" spans="2:3" x14ac:dyDescent="0.25">
      <c r="B125" s="73" t="s">
        <v>120</v>
      </c>
      <c r="C125" s="51" t="s">
        <v>559</v>
      </c>
    </row>
    <row r="126" spans="2:3" x14ac:dyDescent="0.25">
      <c r="B126" s="275" t="s">
        <v>344</v>
      </c>
      <c r="C126" s="64" t="s">
        <v>1062</v>
      </c>
    </row>
    <row r="127" spans="2:3" x14ac:dyDescent="0.25">
      <c r="B127" s="275" t="s">
        <v>348</v>
      </c>
      <c r="C127" s="64" t="s">
        <v>349</v>
      </c>
    </row>
    <row r="128" spans="2:3" x14ac:dyDescent="0.25">
      <c r="B128" s="275" t="s">
        <v>561</v>
      </c>
      <c r="C128" s="64" t="s">
        <v>1063</v>
      </c>
    </row>
    <row r="129" spans="2:3" x14ac:dyDescent="0.25">
      <c r="B129" s="73" t="s">
        <v>542</v>
      </c>
      <c r="C129" s="51" t="s">
        <v>549</v>
      </c>
    </row>
    <row r="130" spans="2:3" x14ac:dyDescent="0.25">
      <c r="B130" s="73" t="s">
        <v>594</v>
      </c>
      <c r="C130" s="51" t="s">
        <v>1145</v>
      </c>
    </row>
    <row r="131" spans="2:3" x14ac:dyDescent="0.25">
      <c r="B131" s="73" t="s">
        <v>546</v>
      </c>
      <c r="C131" s="51" t="s">
        <v>547</v>
      </c>
    </row>
    <row r="132" spans="2:3" x14ac:dyDescent="0.25">
      <c r="B132" s="116" t="s">
        <v>16</v>
      </c>
      <c r="C132" s="116"/>
    </row>
    <row r="133" spans="2:3" x14ac:dyDescent="0.25">
      <c r="B133" s="73" t="s">
        <v>404</v>
      </c>
      <c r="C133" s="65" t="s">
        <v>442</v>
      </c>
    </row>
    <row r="134" spans="2:3" x14ac:dyDescent="0.25">
      <c r="B134" s="73" t="s">
        <v>17</v>
      </c>
      <c r="C134" s="51" t="s">
        <v>1064</v>
      </c>
    </row>
    <row r="135" spans="2:3" x14ac:dyDescent="0.25">
      <c r="B135" s="73" t="s">
        <v>405</v>
      </c>
      <c r="C135" s="51" t="s">
        <v>406</v>
      </c>
    </row>
    <row r="136" spans="2:3" ht="31.5" x14ac:dyDescent="0.25">
      <c r="B136" s="73" t="s">
        <v>513</v>
      </c>
      <c r="C136" s="51" t="s">
        <v>617</v>
      </c>
    </row>
    <row r="137" spans="2:3" x14ac:dyDescent="0.25">
      <c r="B137" s="73" t="s">
        <v>515</v>
      </c>
      <c r="C137" s="51" t="s">
        <v>1271</v>
      </c>
    </row>
    <row r="138" spans="2:3" x14ac:dyDescent="0.25">
      <c r="B138" s="73" t="s">
        <v>516</v>
      </c>
      <c r="C138" s="51" t="s">
        <v>578</v>
      </c>
    </row>
    <row r="139" spans="2:3" x14ac:dyDescent="0.25">
      <c r="B139" s="73" t="s">
        <v>71</v>
      </c>
      <c r="C139" s="51" t="s">
        <v>72</v>
      </c>
    </row>
    <row r="140" spans="2:3" x14ac:dyDescent="0.25">
      <c r="B140" s="73" t="s">
        <v>69</v>
      </c>
      <c r="C140" s="51" t="s">
        <v>70</v>
      </c>
    </row>
    <row r="141" spans="2:3" x14ac:dyDescent="0.25">
      <c r="B141" s="73" t="s">
        <v>98</v>
      </c>
      <c r="C141" s="51" t="s">
        <v>244</v>
      </c>
    </row>
    <row r="142" spans="2:3" ht="31.5" x14ac:dyDescent="0.25">
      <c r="B142" s="73" t="s">
        <v>441</v>
      </c>
      <c r="C142" s="51" t="s">
        <v>1294</v>
      </c>
    </row>
    <row r="143" spans="2:3" ht="47.25" x14ac:dyDescent="0.25">
      <c r="B143" s="73" t="s">
        <v>403</v>
      </c>
      <c r="C143" s="51" t="s">
        <v>580</v>
      </c>
    </row>
    <row r="144" spans="2:3" ht="31.5" x14ac:dyDescent="0.25">
      <c r="B144" s="73" t="s">
        <v>748</v>
      </c>
      <c r="C144" s="51" t="s">
        <v>749</v>
      </c>
    </row>
    <row r="145" spans="2:3" ht="47.25" x14ac:dyDescent="0.25">
      <c r="B145" s="73" t="s">
        <v>440</v>
      </c>
      <c r="C145" s="51" t="s">
        <v>608</v>
      </c>
    </row>
    <row r="146" spans="2:3" ht="47.25" x14ac:dyDescent="0.25">
      <c r="B146" s="73" t="s">
        <v>444</v>
      </c>
      <c r="C146" s="51" t="s">
        <v>609</v>
      </c>
    </row>
    <row r="147" spans="2:3" ht="47.25" x14ac:dyDescent="0.25">
      <c r="B147" s="73" t="s">
        <v>446</v>
      </c>
      <c r="C147" s="51" t="s">
        <v>1115</v>
      </c>
    </row>
    <row r="148" spans="2:3" x14ac:dyDescent="0.25">
      <c r="B148" s="123" t="s">
        <v>433</v>
      </c>
      <c r="C148" s="124"/>
    </row>
    <row r="149" spans="2:3" x14ac:dyDescent="0.25">
      <c r="B149" s="81" t="s">
        <v>271</v>
      </c>
      <c r="C149" s="74" t="s">
        <v>443</v>
      </c>
    </row>
    <row r="150" spans="2:3" x14ac:dyDescent="0.25">
      <c r="B150" s="82" t="s">
        <v>436</v>
      </c>
      <c r="C150" s="125" t="s">
        <v>445</v>
      </c>
    </row>
    <row r="151" spans="2:3" x14ac:dyDescent="0.25">
      <c r="B151" s="81" t="s">
        <v>272</v>
      </c>
      <c r="C151" s="128" t="s">
        <v>514</v>
      </c>
    </row>
    <row r="152" spans="2:3" x14ac:dyDescent="0.25">
      <c r="B152" s="126" t="s">
        <v>249</v>
      </c>
      <c r="C152" s="76" t="s">
        <v>517</v>
      </c>
    </row>
    <row r="153" spans="2:3" x14ac:dyDescent="0.25">
      <c r="B153" s="63" t="s">
        <v>434</v>
      </c>
      <c r="C153" s="127" t="s">
        <v>435</v>
      </c>
    </row>
  </sheetData>
  <mergeCells count="6">
    <mergeCell ref="B90:C90"/>
    <mergeCell ref="B119:C119"/>
    <mergeCell ref="B4:C4"/>
    <mergeCell ref="B69:C69"/>
    <mergeCell ref="B19:C19"/>
    <mergeCell ref="B45:C4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B649-ACEB-4958-AA8B-9FB7DA99AC6B}">
  <sheetPr>
    <tabColor rgb="FF92D050"/>
  </sheetPr>
  <dimension ref="B3:E19"/>
  <sheetViews>
    <sheetView zoomScaleNormal="100" workbookViewId="0">
      <selection activeCell="B2" sqref="B2"/>
    </sheetView>
  </sheetViews>
  <sheetFormatPr defaultColWidth="8.5703125" defaultRowHeight="15.75" x14ac:dyDescent="0.25"/>
  <cols>
    <col min="1" max="1" style="28" width="8.5703125" collapsed="true"/>
    <col min="2" max="2" customWidth="true" style="28" width="43.42578125" collapsed="true"/>
    <col min="3" max="3" customWidth="true" style="28" width="77.42578125" collapsed="true"/>
    <col min="4" max="4" customWidth="true" style="28" width="32.140625" collapsed="true"/>
    <col min="5" max="5" customWidth="true" style="28" width="61.85546875" collapsed="true"/>
    <col min="6" max="16384" style="28" width="8.5703125" collapsed="true"/>
  </cols>
  <sheetData>
    <row r="3" spans="2:5" x14ac:dyDescent="0.25">
      <c r="B3" s="134"/>
      <c r="C3" s="136"/>
    </row>
    <row r="5" spans="2:5" ht="14.45" customHeight="1" x14ac:dyDescent="0.25">
      <c r="B5" s="321" t="s">
        <v>901</v>
      </c>
      <c r="C5" s="321"/>
      <c r="D5" s="321"/>
      <c r="E5" s="321"/>
    </row>
    <row r="6" spans="2:5" x14ac:dyDescent="0.25">
      <c r="B6" s="130" t="s">
        <v>64</v>
      </c>
      <c r="C6" s="130" t="s">
        <v>65</v>
      </c>
      <c r="D6" s="130" t="s">
        <v>66</v>
      </c>
      <c r="E6" s="99" t="s">
        <v>67</v>
      </c>
    </row>
    <row r="7" spans="2:5" x14ac:dyDescent="0.25">
      <c r="B7" s="131" t="b">
        <v>1</v>
      </c>
      <c r="C7" s="101"/>
      <c r="D7" s="101"/>
      <c r="E7" s="129" t="s">
        <v>1156</v>
      </c>
    </row>
    <row r="8" spans="2:5" ht="18.95" customHeight="1" x14ac:dyDescent="0.25">
      <c r="B8" s="131" t="b">
        <v>0</v>
      </c>
      <c r="C8" s="131" t="b">
        <v>1</v>
      </c>
      <c r="D8" s="131" t="b">
        <v>0</v>
      </c>
      <c r="E8" s="325" t="s">
        <v>1155</v>
      </c>
    </row>
    <row r="9" spans="2:5" ht="18.95" customHeight="1" x14ac:dyDescent="0.25">
      <c r="B9" s="131" t="b">
        <v>0</v>
      </c>
      <c r="C9" s="131" t="b">
        <v>1</v>
      </c>
      <c r="D9" s="131" t="b">
        <v>1</v>
      </c>
      <c r="E9" s="325"/>
    </row>
    <row r="10" spans="2:5" x14ac:dyDescent="0.25">
      <c r="B10" s="132" t="b">
        <v>0</v>
      </c>
      <c r="C10" s="132" t="b">
        <v>0</v>
      </c>
      <c r="D10" s="132" t="b">
        <v>1</v>
      </c>
      <c r="E10" s="133" t="s">
        <v>13</v>
      </c>
    </row>
    <row r="14" spans="2:5" x14ac:dyDescent="0.25">
      <c r="B14" s="321" t="s">
        <v>1295</v>
      </c>
      <c r="C14" s="321"/>
      <c r="D14" s="321"/>
      <c r="E14" s="321"/>
    </row>
    <row r="15" spans="2:5" x14ac:dyDescent="0.25">
      <c r="B15" s="130" t="s">
        <v>64</v>
      </c>
      <c r="C15" s="130" t="s">
        <v>65</v>
      </c>
      <c r="D15" s="130" t="s">
        <v>66</v>
      </c>
      <c r="E15" s="99" t="s">
        <v>67</v>
      </c>
    </row>
    <row r="16" spans="2:5" x14ac:dyDescent="0.25">
      <c r="B16" s="131" t="b">
        <v>1</v>
      </c>
      <c r="C16" s="101"/>
      <c r="D16" s="101"/>
      <c r="E16" s="129" t="s">
        <v>1073</v>
      </c>
    </row>
    <row r="17" spans="2:5" x14ac:dyDescent="0.25">
      <c r="B17" s="131" t="b">
        <v>0</v>
      </c>
      <c r="C17" s="131" t="b">
        <v>1</v>
      </c>
      <c r="D17" s="131" t="b">
        <v>0</v>
      </c>
      <c r="E17" s="325" t="s">
        <v>1155</v>
      </c>
    </row>
    <row r="18" spans="2:5" x14ac:dyDescent="0.25">
      <c r="B18" s="131" t="b">
        <v>0</v>
      </c>
      <c r="C18" s="131" t="b">
        <v>1</v>
      </c>
      <c r="D18" s="131" t="b">
        <v>1</v>
      </c>
      <c r="E18" s="325"/>
    </row>
    <row r="19" spans="2:5" x14ac:dyDescent="0.25">
      <c r="B19" s="132" t="b">
        <v>0</v>
      </c>
      <c r="C19" s="132" t="b">
        <v>0</v>
      </c>
      <c r="D19" s="132" t="b">
        <v>1</v>
      </c>
      <c r="E19" s="133" t="s">
        <v>1073</v>
      </c>
    </row>
  </sheetData>
  <mergeCells count="4">
    <mergeCell ref="B5:E5"/>
    <mergeCell ref="E8:E9"/>
    <mergeCell ref="B14:E14"/>
    <mergeCell ref="E17:E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432B-DB80-449C-8437-6FEEDB3CACBE}">
  <dimension ref="B3:G329"/>
  <sheetViews>
    <sheetView topLeftCell="A115" zoomScale="70" zoomScaleNormal="70" workbookViewId="0">
      <selection activeCell="C49" sqref="C49"/>
    </sheetView>
  </sheetViews>
  <sheetFormatPr defaultColWidth="8.5703125" defaultRowHeight="15.75" x14ac:dyDescent="0.25"/>
  <cols>
    <col min="1" max="1" customWidth="true" style="28" width="9.85546875" collapsed="true"/>
    <col min="2" max="2" customWidth="true" style="28" width="27.0" collapsed="true"/>
    <col min="3" max="3" customWidth="true" style="28" width="110.5703125" collapsed="true"/>
    <col min="4" max="4" customWidth="true" style="28" width="95.140625" collapsed="true"/>
    <col min="5" max="5" customWidth="true" style="28" width="13.140625" collapsed="true"/>
    <col min="6" max="6" customWidth="true" style="28" width="21.140625" collapsed="true"/>
    <col min="7" max="7" customWidth="true" style="28" width="67.42578125" collapsed="true"/>
    <col min="8" max="8" customWidth="true" style="28" width="22.140625" collapsed="true"/>
    <col min="9" max="9" customWidth="true" style="28" width="42.140625" collapsed="true"/>
    <col min="10" max="10" customWidth="true" style="28" width="100.140625" collapsed="true"/>
    <col min="11" max="12" style="28" width="8.5703125" collapsed="true"/>
    <col min="13" max="13" customWidth="true" style="28" width="32.85546875" collapsed="true"/>
    <col min="14" max="14" customWidth="true" style="28" width="60.5703125" collapsed="true"/>
    <col min="15" max="17" style="28" width="8.5703125" collapsed="true"/>
    <col min="18" max="18" customWidth="true" style="28" width="33.140625" collapsed="true"/>
    <col min="19" max="19" customWidth="true" style="28" width="54.42578125" collapsed="true"/>
    <col min="20" max="16384" style="28" width="8.5703125" collapsed="true"/>
  </cols>
  <sheetData>
    <row r="3" spans="2:7" ht="36.950000000000003" customHeight="1" x14ac:dyDescent="0.25">
      <c r="B3" s="321" t="s">
        <v>903</v>
      </c>
      <c r="C3" s="321"/>
      <c r="D3" s="321"/>
    </row>
    <row r="4" spans="2:7" x14ac:dyDescent="0.25">
      <c r="B4" s="98" t="s">
        <v>132</v>
      </c>
      <c r="C4" s="98" t="s">
        <v>133</v>
      </c>
      <c r="D4" s="99" t="s">
        <v>134</v>
      </c>
    </row>
    <row r="5" spans="2:7" x14ac:dyDescent="0.25">
      <c r="B5" s="328" t="s">
        <v>135</v>
      </c>
      <c r="C5" s="131" t="s">
        <v>119</v>
      </c>
      <c r="D5" s="35" t="s">
        <v>136</v>
      </c>
    </row>
    <row r="6" spans="2:7" x14ac:dyDescent="0.25">
      <c r="B6" s="328"/>
      <c r="C6" s="137" t="s">
        <v>118</v>
      </c>
      <c r="D6" s="35" t="s">
        <v>137</v>
      </c>
    </row>
    <row r="7" spans="2:7" x14ac:dyDescent="0.25">
      <c r="B7" s="328"/>
      <c r="C7" s="137" t="s">
        <v>117</v>
      </c>
      <c r="D7" s="35" t="s">
        <v>138</v>
      </c>
    </row>
    <row r="8" spans="2:7" x14ac:dyDescent="0.25">
      <c r="B8" s="328" t="s">
        <v>122</v>
      </c>
      <c r="C8" s="131" t="s">
        <v>119</v>
      </c>
      <c r="D8" s="35" t="s">
        <v>354</v>
      </c>
    </row>
    <row r="9" spans="2:7" x14ac:dyDescent="0.25">
      <c r="B9" s="328"/>
      <c r="C9" s="137" t="s">
        <v>118</v>
      </c>
      <c r="D9" s="35" t="s">
        <v>355</v>
      </c>
    </row>
    <row r="10" spans="2:7" x14ac:dyDescent="0.25">
      <c r="B10" s="328"/>
      <c r="C10" s="137" t="s">
        <v>117</v>
      </c>
      <c r="D10" s="35" t="s">
        <v>353</v>
      </c>
    </row>
    <row r="11" spans="2:7" x14ac:dyDescent="0.25">
      <c r="B11" s="328" t="s">
        <v>123</v>
      </c>
      <c r="C11" s="131" t="s">
        <v>119</v>
      </c>
      <c r="D11" s="35" t="s">
        <v>553</v>
      </c>
      <c r="G11" s="131"/>
    </row>
    <row r="12" spans="2:7" x14ac:dyDescent="0.25">
      <c r="B12" s="328"/>
      <c r="C12" s="137" t="s">
        <v>118</v>
      </c>
      <c r="D12" s="35" t="s">
        <v>554</v>
      </c>
      <c r="G12" s="131"/>
    </row>
    <row r="13" spans="2:7" x14ac:dyDescent="0.25">
      <c r="B13" s="329"/>
      <c r="C13" s="138" t="s">
        <v>117</v>
      </c>
      <c r="D13" s="100" t="s">
        <v>555</v>
      </c>
      <c r="G13" s="35"/>
    </row>
    <row r="17" spans="2:4" ht="29.1" customHeight="1" x14ac:dyDescent="0.25">
      <c r="B17" s="321" t="s">
        <v>904</v>
      </c>
      <c r="C17" s="321"/>
      <c r="D17" s="321"/>
    </row>
    <row r="18" spans="2:4" x14ac:dyDescent="0.25">
      <c r="B18" s="98" t="s">
        <v>132</v>
      </c>
      <c r="C18" s="98" t="s">
        <v>133</v>
      </c>
      <c r="D18" s="99" t="s">
        <v>134</v>
      </c>
    </row>
    <row r="19" spans="2:4" ht="13.5" customHeight="1" x14ac:dyDescent="0.25">
      <c r="B19" s="328" t="s">
        <v>135</v>
      </c>
      <c r="C19" s="131" t="s">
        <v>119</v>
      </c>
      <c r="D19" s="35" t="s">
        <v>139</v>
      </c>
    </row>
    <row r="20" spans="2:4" ht="13.5" customHeight="1" x14ac:dyDescent="0.25">
      <c r="B20" s="328"/>
      <c r="C20" s="137" t="s">
        <v>118</v>
      </c>
      <c r="D20" s="35" t="s">
        <v>140</v>
      </c>
    </row>
    <row r="21" spans="2:4" ht="13.5" customHeight="1" x14ac:dyDescent="0.25">
      <c r="B21" s="328"/>
      <c r="C21" s="137" t="s">
        <v>117</v>
      </c>
      <c r="D21" s="35" t="s">
        <v>141</v>
      </c>
    </row>
    <row r="22" spans="2:4" ht="13.5" customHeight="1" x14ac:dyDescent="0.25">
      <c r="B22" s="328" t="s">
        <v>122</v>
      </c>
      <c r="C22" s="131" t="s">
        <v>119</v>
      </c>
      <c r="D22" s="35" t="s">
        <v>354</v>
      </c>
    </row>
    <row r="23" spans="2:4" ht="13.5" customHeight="1" x14ac:dyDescent="0.25">
      <c r="B23" s="328"/>
      <c r="C23" s="137" t="s">
        <v>118</v>
      </c>
      <c r="D23" s="35" t="s">
        <v>355</v>
      </c>
    </row>
    <row r="24" spans="2:4" ht="13.5" customHeight="1" x14ac:dyDescent="0.25">
      <c r="B24" s="328"/>
      <c r="C24" s="137" t="s">
        <v>117</v>
      </c>
      <c r="D24" s="35" t="s">
        <v>353</v>
      </c>
    </row>
    <row r="25" spans="2:4" ht="13.5" customHeight="1" x14ac:dyDescent="0.25">
      <c r="B25" s="328" t="s">
        <v>123</v>
      </c>
      <c r="C25" s="131" t="s">
        <v>119</v>
      </c>
      <c r="D25" s="35" t="s">
        <v>364</v>
      </c>
    </row>
    <row r="26" spans="2:4" ht="13.5" customHeight="1" x14ac:dyDescent="0.25">
      <c r="B26" s="328"/>
      <c r="C26" s="137" t="s">
        <v>118</v>
      </c>
      <c r="D26" s="35" t="s">
        <v>365</v>
      </c>
    </row>
    <row r="27" spans="2:4" ht="13.5" customHeight="1" x14ac:dyDescent="0.25">
      <c r="B27" s="329"/>
      <c r="C27" s="138" t="s">
        <v>117</v>
      </c>
      <c r="D27" s="100" t="s">
        <v>366</v>
      </c>
    </row>
    <row r="28" spans="2:4" ht="13.5" customHeight="1" x14ac:dyDescent="0.25"/>
    <row r="29" spans="2:4" ht="13.5" customHeight="1" x14ac:dyDescent="0.25"/>
    <row r="30" spans="2:4" ht="13.5" customHeight="1" x14ac:dyDescent="0.25"/>
    <row r="31" spans="2:4" ht="53.45" customHeight="1" x14ac:dyDescent="0.25"/>
    <row r="32" spans="2:4" ht="13.5" customHeight="1" x14ac:dyDescent="0.25"/>
    <row r="34" spans="6:7" ht="13.5" customHeight="1" x14ac:dyDescent="0.25"/>
    <row r="35" spans="6:7" ht="13.5" customHeight="1" x14ac:dyDescent="0.25"/>
    <row r="36" spans="6:7" ht="13.5" customHeight="1" x14ac:dyDescent="0.25"/>
    <row r="37" spans="6:7" ht="13.5" customHeight="1" x14ac:dyDescent="0.25"/>
    <row r="38" spans="6:7" ht="25.5" customHeight="1" x14ac:dyDescent="0.25"/>
    <row r="40" spans="6:7" ht="24.6" customHeight="1" x14ac:dyDescent="0.25">
      <c r="F40" s="137"/>
      <c r="G40" s="142"/>
    </row>
    <row r="41" spans="6:7" ht="24.6" customHeight="1" x14ac:dyDescent="0.25">
      <c r="F41" s="137"/>
      <c r="G41" s="142"/>
    </row>
    <row r="42" spans="6:7" x14ac:dyDescent="0.25">
      <c r="F42" s="137"/>
      <c r="G42" s="97"/>
    </row>
    <row r="43" spans="6:7" x14ac:dyDescent="0.25">
      <c r="F43" s="137"/>
      <c r="G43" s="97"/>
    </row>
    <row r="44" spans="6:7" ht="13.5" customHeight="1" x14ac:dyDescent="0.25">
      <c r="F44" s="137"/>
      <c r="G44" s="97"/>
    </row>
    <row r="45" spans="6:7" ht="13.5" customHeight="1" x14ac:dyDescent="0.25">
      <c r="F45" s="137"/>
      <c r="G45" s="97"/>
    </row>
    <row r="47" spans="6:7" ht="13.5" customHeight="1" x14ac:dyDescent="0.25">
      <c r="F47" s="143"/>
      <c r="G47" s="142"/>
    </row>
    <row r="48" spans="6:7" ht="13.5" customHeight="1" x14ac:dyDescent="0.25">
      <c r="F48" s="131"/>
      <c r="G48" s="146"/>
    </row>
    <row r="49" spans="2:7" x14ac:dyDescent="0.25">
      <c r="F49" s="143"/>
      <c r="G49" s="142"/>
    </row>
    <row r="51" spans="2:7" ht="29.45" customHeight="1" x14ac:dyDescent="0.25"/>
    <row r="56" spans="2:7" ht="34.700000000000003" customHeight="1" x14ac:dyDescent="0.25">
      <c r="B56" s="321" t="s">
        <v>1222</v>
      </c>
      <c r="C56" s="321"/>
    </row>
    <row r="57" spans="2:7" x14ac:dyDescent="0.25">
      <c r="B57" s="139" t="s">
        <v>30</v>
      </c>
      <c r="C57" s="140" t="s">
        <v>5</v>
      </c>
    </row>
    <row r="58" spans="2:7" x14ac:dyDescent="0.25">
      <c r="B58" s="141" t="s">
        <v>2</v>
      </c>
      <c r="C58" s="97" t="s">
        <v>390</v>
      </c>
    </row>
    <row r="59" spans="2:7" x14ac:dyDescent="0.25">
      <c r="B59" s="143" t="s">
        <v>162</v>
      </c>
      <c r="C59" s="142" t="s">
        <v>391</v>
      </c>
    </row>
    <row r="60" spans="2:7" x14ac:dyDescent="0.25">
      <c r="B60" s="143" t="s">
        <v>425</v>
      </c>
      <c r="C60" s="142" t="s">
        <v>154</v>
      </c>
    </row>
    <row r="61" spans="2:7" x14ac:dyDescent="0.25">
      <c r="B61" s="137" t="s">
        <v>39</v>
      </c>
      <c r="C61" s="254" t="s">
        <v>1194</v>
      </c>
    </row>
    <row r="62" spans="2:7" x14ac:dyDescent="0.25">
      <c r="B62" s="137" t="s">
        <v>1</v>
      </c>
      <c r="C62" s="142" t="s">
        <v>616</v>
      </c>
    </row>
    <row r="63" spans="2:7" x14ac:dyDescent="0.25">
      <c r="B63" s="137" t="s">
        <v>276</v>
      </c>
      <c r="C63" s="142" t="s">
        <v>465</v>
      </c>
    </row>
    <row r="64" spans="2:7" x14ac:dyDescent="0.3">
      <c r="B64" s="141" t="s">
        <v>146</v>
      </c>
      <c r="C64" s="105" t="s">
        <v>464</v>
      </c>
    </row>
    <row r="65" spans="2:3" ht="14.45" customHeight="1" x14ac:dyDescent="0.25">
      <c r="B65" s="152" t="s">
        <v>145</v>
      </c>
      <c r="C65" s="304" t="s">
        <v>1193</v>
      </c>
    </row>
    <row r="69" spans="2:3" x14ac:dyDescent="0.25">
      <c r="B69" s="321" t="s">
        <v>905</v>
      </c>
      <c r="C69" s="321"/>
    </row>
    <row r="70" spans="2:3" x14ac:dyDescent="0.25">
      <c r="B70" s="139" t="s">
        <v>30</v>
      </c>
      <c r="C70" s="140" t="s">
        <v>5</v>
      </c>
    </row>
    <row r="71" spans="2:3" ht="18" customHeight="1" x14ac:dyDescent="0.25">
      <c r="B71" s="141" t="s">
        <v>2</v>
      </c>
      <c r="C71" s="97" t="s">
        <v>390</v>
      </c>
    </row>
    <row r="72" spans="2:3" x14ac:dyDescent="0.25">
      <c r="B72" s="143" t="s">
        <v>162</v>
      </c>
      <c r="C72" s="142" t="s">
        <v>391</v>
      </c>
    </row>
    <row r="73" spans="2:3" x14ac:dyDescent="0.25">
      <c r="B73" s="143" t="s">
        <v>425</v>
      </c>
      <c r="C73" s="142" t="s">
        <v>154</v>
      </c>
    </row>
    <row r="74" spans="2:3" x14ac:dyDescent="0.25">
      <c r="B74" s="137" t="s">
        <v>39</v>
      </c>
      <c r="C74" s="254" t="s">
        <v>1192</v>
      </c>
    </row>
    <row r="75" spans="2:3" x14ac:dyDescent="0.25">
      <c r="B75" s="143" t="s">
        <v>361</v>
      </c>
      <c r="C75" s="142" t="s">
        <v>360</v>
      </c>
    </row>
    <row r="76" spans="2:3" x14ac:dyDescent="0.25">
      <c r="B76" s="143" t="s">
        <v>1</v>
      </c>
      <c r="C76" s="142" t="s">
        <v>471</v>
      </c>
    </row>
    <row r="77" spans="2:3" x14ac:dyDescent="0.25">
      <c r="B77" s="137" t="s">
        <v>276</v>
      </c>
      <c r="C77" s="97" t="s">
        <v>470</v>
      </c>
    </row>
    <row r="78" spans="2:3" x14ac:dyDescent="0.3">
      <c r="B78" s="141" t="s">
        <v>146</v>
      </c>
      <c r="C78" s="105" t="s">
        <v>464</v>
      </c>
    </row>
    <row r="79" spans="2:3" x14ac:dyDescent="0.25">
      <c r="B79" s="152" t="s">
        <v>145</v>
      </c>
      <c r="C79" s="46" t="s">
        <v>512</v>
      </c>
    </row>
    <row r="83" spans="2:3" x14ac:dyDescent="0.25">
      <c r="B83" s="322" t="s">
        <v>906</v>
      </c>
      <c r="C83" s="322"/>
    </row>
    <row r="84" spans="2:3" x14ac:dyDescent="0.25">
      <c r="B84" s="153" t="s">
        <v>115</v>
      </c>
      <c r="C84" s="154" t="s">
        <v>12</v>
      </c>
    </row>
    <row r="85" spans="2:3" x14ac:dyDescent="0.25">
      <c r="B85" s="155" t="s">
        <v>142</v>
      </c>
      <c r="C85" s="142" t="s">
        <v>902</v>
      </c>
    </row>
    <row r="86" spans="2:3" x14ac:dyDescent="0.25">
      <c r="B86" s="155" t="s">
        <v>125</v>
      </c>
      <c r="C86" s="142" t="s">
        <v>341</v>
      </c>
    </row>
    <row r="87" spans="2:3" x14ac:dyDescent="0.25">
      <c r="B87" s="155" t="s">
        <v>126</v>
      </c>
      <c r="C87" s="142" t="s">
        <v>216</v>
      </c>
    </row>
    <row r="88" spans="2:3" x14ac:dyDescent="0.25">
      <c r="B88" s="155" t="s">
        <v>127</v>
      </c>
      <c r="C88" s="142" t="s">
        <v>217</v>
      </c>
    </row>
    <row r="89" spans="2:3" x14ac:dyDescent="0.25">
      <c r="B89" s="155" t="s">
        <v>128</v>
      </c>
      <c r="C89" s="142" t="s">
        <v>218</v>
      </c>
    </row>
    <row r="90" spans="2:3" x14ac:dyDescent="0.25">
      <c r="B90" s="155" t="s">
        <v>129</v>
      </c>
      <c r="C90" s="142" t="s">
        <v>219</v>
      </c>
    </row>
    <row r="91" spans="2:3" x14ac:dyDescent="0.25">
      <c r="B91" s="155" t="s">
        <v>130</v>
      </c>
      <c r="C91" s="142" t="s">
        <v>220</v>
      </c>
    </row>
    <row r="92" spans="2:3" x14ac:dyDescent="0.25">
      <c r="B92" s="155" t="s">
        <v>131</v>
      </c>
      <c r="C92" s="142" t="s">
        <v>221</v>
      </c>
    </row>
    <row r="93" spans="2:3" x14ac:dyDescent="0.25">
      <c r="B93" s="155" t="s">
        <v>1054</v>
      </c>
      <c r="C93" s="142" t="s">
        <v>222</v>
      </c>
    </row>
    <row r="94" spans="2:3" x14ac:dyDescent="0.25">
      <c r="B94" s="156" t="s">
        <v>1056</v>
      </c>
      <c r="C94" s="157" t="s">
        <v>356</v>
      </c>
    </row>
    <row r="98" spans="2:3" x14ac:dyDescent="0.25">
      <c r="B98" s="330" t="s">
        <v>907</v>
      </c>
      <c r="C98" s="331"/>
    </row>
    <row r="99" spans="2:3" x14ac:dyDescent="0.25">
      <c r="B99" s="153" t="s">
        <v>115</v>
      </c>
      <c r="C99" s="154" t="s">
        <v>12</v>
      </c>
    </row>
    <row r="100" spans="2:3" x14ac:dyDescent="0.25">
      <c r="B100" s="155">
        <v>18</v>
      </c>
      <c r="C100" s="97" t="s">
        <v>164</v>
      </c>
    </row>
    <row r="101" spans="2:3" x14ac:dyDescent="0.25">
      <c r="B101" s="155">
        <v>19</v>
      </c>
      <c r="C101" s="97" t="s">
        <v>165</v>
      </c>
    </row>
    <row r="102" spans="2:3" x14ac:dyDescent="0.25">
      <c r="B102" s="155">
        <v>20</v>
      </c>
      <c r="C102" s="97" t="s">
        <v>166</v>
      </c>
    </row>
    <row r="103" spans="2:3" x14ac:dyDescent="0.25">
      <c r="B103" s="155">
        <v>21</v>
      </c>
      <c r="C103" s="97" t="s">
        <v>167</v>
      </c>
    </row>
    <row r="104" spans="2:3" x14ac:dyDescent="0.25">
      <c r="B104" s="155">
        <v>22</v>
      </c>
      <c r="C104" s="97" t="s">
        <v>168</v>
      </c>
    </row>
    <row r="105" spans="2:3" x14ac:dyDescent="0.25">
      <c r="B105" s="155">
        <v>23</v>
      </c>
      <c r="C105" s="97" t="s">
        <v>169</v>
      </c>
    </row>
    <row r="106" spans="2:3" x14ac:dyDescent="0.25">
      <c r="B106" s="155">
        <v>24</v>
      </c>
      <c r="C106" s="97" t="s">
        <v>170</v>
      </c>
    </row>
    <row r="107" spans="2:3" x14ac:dyDescent="0.25">
      <c r="B107" s="155">
        <v>25</v>
      </c>
      <c r="C107" s="97" t="s">
        <v>171</v>
      </c>
    </row>
    <row r="108" spans="2:3" x14ac:dyDescent="0.25">
      <c r="B108" s="155">
        <v>26</v>
      </c>
      <c r="C108" s="97" t="s">
        <v>172</v>
      </c>
    </row>
    <row r="109" spans="2:3" x14ac:dyDescent="0.25">
      <c r="B109" s="155">
        <v>27</v>
      </c>
      <c r="C109" s="97" t="s">
        <v>173</v>
      </c>
    </row>
    <row r="110" spans="2:3" x14ac:dyDescent="0.25">
      <c r="B110" s="155">
        <v>28</v>
      </c>
      <c r="C110" s="97" t="s">
        <v>174</v>
      </c>
    </row>
    <row r="111" spans="2:3" x14ac:dyDescent="0.25">
      <c r="B111" s="155">
        <v>29</v>
      </c>
      <c r="C111" s="97" t="s">
        <v>175</v>
      </c>
    </row>
    <row r="112" spans="2:3" x14ac:dyDescent="0.25">
      <c r="B112" s="155">
        <v>30</v>
      </c>
      <c r="C112" s="97" t="s">
        <v>176</v>
      </c>
    </row>
    <row r="113" spans="2:3" x14ac:dyDescent="0.25">
      <c r="B113" s="155">
        <v>31</v>
      </c>
      <c r="C113" s="97" t="s">
        <v>177</v>
      </c>
    </row>
    <row r="114" spans="2:3" x14ac:dyDescent="0.25">
      <c r="B114" s="155">
        <v>32</v>
      </c>
      <c r="C114" s="97" t="s">
        <v>178</v>
      </c>
    </row>
    <row r="115" spans="2:3" x14ac:dyDescent="0.25">
      <c r="B115" s="155">
        <v>33</v>
      </c>
      <c r="C115" s="97" t="s">
        <v>179</v>
      </c>
    </row>
    <row r="116" spans="2:3" x14ac:dyDescent="0.25">
      <c r="B116" s="155">
        <v>34</v>
      </c>
      <c r="C116" s="97" t="s">
        <v>180</v>
      </c>
    </row>
    <row r="117" spans="2:3" x14ac:dyDescent="0.25">
      <c r="B117" s="155">
        <v>35</v>
      </c>
      <c r="C117" s="97" t="s">
        <v>181</v>
      </c>
    </row>
    <row r="118" spans="2:3" x14ac:dyDescent="0.25">
      <c r="B118" s="155">
        <v>36</v>
      </c>
      <c r="C118" s="97" t="s">
        <v>182</v>
      </c>
    </row>
    <row r="119" spans="2:3" x14ac:dyDescent="0.25">
      <c r="B119" s="155">
        <v>37</v>
      </c>
      <c r="C119" s="97" t="s">
        <v>183</v>
      </c>
    </row>
    <row r="120" spans="2:3" x14ac:dyDescent="0.25">
      <c r="B120" s="155">
        <v>38</v>
      </c>
      <c r="C120" s="97" t="s">
        <v>402</v>
      </c>
    </row>
    <row r="121" spans="2:3" x14ac:dyDescent="0.25">
      <c r="B121" s="155">
        <v>39</v>
      </c>
      <c r="C121" s="97" t="s">
        <v>184</v>
      </c>
    </row>
    <row r="122" spans="2:3" x14ac:dyDescent="0.25">
      <c r="B122" s="155">
        <v>40</v>
      </c>
      <c r="C122" s="97" t="s">
        <v>185</v>
      </c>
    </row>
    <row r="123" spans="2:3" x14ac:dyDescent="0.25">
      <c r="B123" s="155">
        <v>41</v>
      </c>
      <c r="C123" s="97" t="s">
        <v>186</v>
      </c>
    </row>
    <row r="124" spans="2:3" x14ac:dyDescent="0.25">
      <c r="B124" s="155">
        <v>42</v>
      </c>
      <c r="C124" s="97" t="s">
        <v>187</v>
      </c>
    </row>
    <row r="125" spans="2:3" x14ac:dyDescent="0.25">
      <c r="B125" s="155">
        <v>43</v>
      </c>
      <c r="C125" s="97" t="s">
        <v>188</v>
      </c>
    </row>
    <row r="126" spans="2:3" x14ac:dyDescent="0.25">
      <c r="B126" s="155">
        <v>44</v>
      </c>
      <c r="C126" s="97" t="s">
        <v>189</v>
      </c>
    </row>
    <row r="127" spans="2:3" x14ac:dyDescent="0.25">
      <c r="B127" s="155">
        <v>45</v>
      </c>
      <c r="C127" s="97" t="s">
        <v>190</v>
      </c>
    </row>
    <row r="128" spans="2:3" x14ac:dyDescent="0.25">
      <c r="B128" s="155">
        <v>46</v>
      </c>
      <c r="C128" s="97" t="s">
        <v>191</v>
      </c>
    </row>
    <row r="129" spans="2:3" x14ac:dyDescent="0.25">
      <c r="B129" s="155">
        <v>47</v>
      </c>
      <c r="C129" s="97" t="s">
        <v>192</v>
      </c>
    </row>
    <row r="130" spans="2:3" x14ac:dyDescent="0.25">
      <c r="B130" s="155">
        <v>48</v>
      </c>
      <c r="C130" s="97" t="s">
        <v>193</v>
      </c>
    </row>
    <row r="131" spans="2:3" x14ac:dyDescent="0.25">
      <c r="B131" s="155">
        <v>49</v>
      </c>
      <c r="C131" s="97" t="s">
        <v>194</v>
      </c>
    </row>
    <row r="132" spans="2:3" x14ac:dyDescent="0.25">
      <c r="B132" s="155">
        <v>50</v>
      </c>
      <c r="C132" s="97" t="s">
        <v>195</v>
      </c>
    </row>
    <row r="133" spans="2:3" x14ac:dyDescent="0.25">
      <c r="B133" s="155">
        <v>51</v>
      </c>
      <c r="C133" s="97" t="s">
        <v>196</v>
      </c>
    </row>
    <row r="134" spans="2:3" x14ac:dyDescent="0.25">
      <c r="B134" s="155">
        <v>52</v>
      </c>
      <c r="C134" s="97" t="s">
        <v>197</v>
      </c>
    </row>
    <row r="135" spans="2:3" x14ac:dyDescent="0.25">
      <c r="B135" s="155">
        <v>53</v>
      </c>
      <c r="C135" s="97" t="s">
        <v>198</v>
      </c>
    </row>
    <row r="136" spans="2:3" x14ac:dyDescent="0.25">
      <c r="B136" s="155">
        <v>54</v>
      </c>
      <c r="C136" s="97" t="s">
        <v>199</v>
      </c>
    </row>
    <row r="137" spans="2:3" x14ac:dyDescent="0.25">
      <c r="B137" s="155">
        <v>55</v>
      </c>
      <c r="C137" s="97" t="s">
        <v>200</v>
      </c>
    </row>
    <row r="138" spans="2:3" x14ac:dyDescent="0.25">
      <c r="B138" s="155">
        <v>56</v>
      </c>
      <c r="C138" s="97" t="s">
        <v>201</v>
      </c>
    </row>
    <row r="139" spans="2:3" x14ac:dyDescent="0.25">
      <c r="B139" s="155">
        <v>57</v>
      </c>
      <c r="C139" s="97" t="s">
        <v>202</v>
      </c>
    </row>
    <row r="140" spans="2:3" x14ac:dyDescent="0.25">
      <c r="B140" s="155">
        <v>58</v>
      </c>
      <c r="C140" s="97" t="s">
        <v>203</v>
      </c>
    </row>
    <row r="141" spans="2:3" x14ac:dyDescent="0.25">
      <c r="B141" s="155">
        <v>59</v>
      </c>
      <c r="C141" s="97" t="s">
        <v>204</v>
      </c>
    </row>
    <row r="142" spans="2:3" x14ac:dyDescent="0.25">
      <c r="B142" s="155">
        <v>60</v>
      </c>
      <c r="C142" s="97" t="s">
        <v>205</v>
      </c>
    </row>
    <row r="143" spans="2:3" x14ac:dyDescent="0.25">
      <c r="B143" s="155">
        <v>61</v>
      </c>
      <c r="C143" s="97" t="s">
        <v>206</v>
      </c>
    </row>
    <row r="144" spans="2:3" x14ac:dyDescent="0.25">
      <c r="B144" s="155">
        <v>62</v>
      </c>
      <c r="C144" s="97" t="s">
        <v>207</v>
      </c>
    </row>
    <row r="145" spans="2:3" x14ac:dyDescent="0.25">
      <c r="B145" s="155">
        <v>63</v>
      </c>
      <c r="C145" s="97" t="s">
        <v>208</v>
      </c>
    </row>
    <row r="146" spans="2:3" x14ac:dyDescent="0.25">
      <c r="B146" s="155">
        <v>64</v>
      </c>
      <c r="C146" s="97" t="s">
        <v>209</v>
      </c>
    </row>
    <row r="147" spans="2:3" x14ac:dyDescent="0.25">
      <c r="B147" s="155">
        <v>65</v>
      </c>
      <c r="C147" s="97" t="s">
        <v>210</v>
      </c>
    </row>
    <row r="148" spans="2:3" x14ac:dyDescent="0.25">
      <c r="B148" s="155">
        <v>66</v>
      </c>
      <c r="C148" s="97" t="s">
        <v>211</v>
      </c>
    </row>
    <row r="149" spans="2:3" x14ac:dyDescent="0.25">
      <c r="B149" s="155">
        <v>67</v>
      </c>
      <c r="C149" s="97" t="s">
        <v>212</v>
      </c>
    </row>
    <row r="150" spans="2:3" x14ac:dyDescent="0.25">
      <c r="B150" s="155">
        <v>68</v>
      </c>
      <c r="C150" s="97" t="s">
        <v>213</v>
      </c>
    </row>
    <row r="151" spans="2:3" x14ac:dyDescent="0.25">
      <c r="B151" s="155">
        <v>69</v>
      </c>
      <c r="C151" s="97" t="s">
        <v>214</v>
      </c>
    </row>
    <row r="152" spans="2:3" x14ac:dyDescent="0.25">
      <c r="B152" s="156">
        <v>70</v>
      </c>
      <c r="C152" s="149" t="s">
        <v>215</v>
      </c>
    </row>
    <row r="156" spans="2:3" x14ac:dyDescent="0.25">
      <c r="B156" s="327" t="s">
        <v>908</v>
      </c>
      <c r="C156" s="319"/>
    </row>
    <row r="157" spans="2:3" x14ac:dyDescent="0.25">
      <c r="B157" s="139" t="s">
        <v>115</v>
      </c>
      <c r="C157" s="140" t="s">
        <v>14</v>
      </c>
    </row>
    <row r="158" spans="2:3" x14ac:dyDescent="0.25">
      <c r="B158" s="89" t="s">
        <v>142</v>
      </c>
      <c r="C158" s="97" t="s">
        <v>456</v>
      </c>
    </row>
    <row r="159" spans="2:3" x14ac:dyDescent="0.25">
      <c r="B159" s="89" t="s">
        <v>125</v>
      </c>
      <c r="C159" s="97" t="s">
        <v>281</v>
      </c>
    </row>
    <row r="160" spans="2:3" x14ac:dyDescent="0.25">
      <c r="B160" s="89" t="s">
        <v>126</v>
      </c>
      <c r="C160" s="97" t="s">
        <v>282</v>
      </c>
    </row>
    <row r="161" spans="2:3" x14ac:dyDescent="0.25">
      <c r="B161" s="89" t="s">
        <v>127</v>
      </c>
      <c r="C161" s="97" t="s">
        <v>283</v>
      </c>
    </row>
    <row r="162" spans="2:3" x14ac:dyDescent="0.25">
      <c r="B162" s="89" t="s">
        <v>128</v>
      </c>
      <c r="C162" s="97" t="s">
        <v>284</v>
      </c>
    </row>
    <row r="163" spans="2:3" x14ac:dyDescent="0.25">
      <c r="B163" s="89" t="s">
        <v>129</v>
      </c>
      <c r="C163" s="97" t="s">
        <v>285</v>
      </c>
    </row>
    <row r="164" spans="2:3" x14ac:dyDescent="0.25">
      <c r="B164" s="89" t="s">
        <v>130</v>
      </c>
      <c r="C164" s="97" t="s">
        <v>286</v>
      </c>
    </row>
    <row r="165" spans="2:3" x14ac:dyDescent="0.25">
      <c r="B165" s="89" t="s">
        <v>131</v>
      </c>
      <c r="C165" s="97" t="s">
        <v>287</v>
      </c>
    </row>
    <row r="166" spans="2:3" x14ac:dyDescent="0.25">
      <c r="B166" s="89" t="s">
        <v>1054</v>
      </c>
      <c r="C166" s="97" t="s">
        <v>1058</v>
      </c>
    </row>
    <row r="167" spans="2:3" x14ac:dyDescent="0.25">
      <c r="B167" s="91" t="s">
        <v>1057</v>
      </c>
      <c r="C167" s="149" t="s">
        <v>1059</v>
      </c>
    </row>
    <row r="168" spans="2:3" x14ac:dyDescent="0.25">
      <c r="B168" s="137"/>
      <c r="C168" s="137"/>
    </row>
    <row r="169" spans="2:3" x14ac:dyDescent="0.25">
      <c r="B169" s="137"/>
      <c r="C169" s="137"/>
    </row>
    <row r="170" spans="2:3" x14ac:dyDescent="0.25">
      <c r="B170" s="327" t="s">
        <v>909</v>
      </c>
      <c r="C170" s="319"/>
    </row>
    <row r="171" spans="2:3" x14ac:dyDescent="0.25">
      <c r="B171" s="139" t="s">
        <v>115</v>
      </c>
      <c r="C171" s="140" t="s">
        <v>14</v>
      </c>
    </row>
    <row r="172" spans="2:3" ht="14.45" customHeight="1" x14ac:dyDescent="0.25">
      <c r="B172" s="90">
        <v>18</v>
      </c>
      <c r="C172" s="97" t="s">
        <v>288</v>
      </c>
    </row>
    <row r="173" spans="2:3" x14ac:dyDescent="0.25">
      <c r="B173" s="90">
        <v>19</v>
      </c>
      <c r="C173" s="97" t="s">
        <v>289</v>
      </c>
    </row>
    <row r="174" spans="2:3" x14ac:dyDescent="0.25">
      <c r="B174" s="90">
        <v>20</v>
      </c>
      <c r="C174" s="97" t="s">
        <v>290</v>
      </c>
    </row>
    <row r="175" spans="2:3" x14ac:dyDescent="0.25">
      <c r="B175" s="90">
        <v>21</v>
      </c>
      <c r="C175" s="97" t="s">
        <v>291</v>
      </c>
    </row>
    <row r="176" spans="2:3" x14ac:dyDescent="0.25">
      <c r="B176" s="90">
        <v>22</v>
      </c>
      <c r="C176" s="97" t="s">
        <v>292</v>
      </c>
    </row>
    <row r="177" spans="2:3" x14ac:dyDescent="0.25">
      <c r="B177" s="90">
        <v>23</v>
      </c>
      <c r="C177" s="97" t="s">
        <v>293</v>
      </c>
    </row>
    <row r="178" spans="2:3" x14ac:dyDescent="0.25">
      <c r="B178" s="90">
        <v>24</v>
      </c>
      <c r="C178" s="97" t="s">
        <v>294</v>
      </c>
    </row>
    <row r="179" spans="2:3" x14ac:dyDescent="0.25">
      <c r="B179" s="90">
        <v>25</v>
      </c>
      <c r="C179" s="97" t="s">
        <v>295</v>
      </c>
    </row>
    <row r="180" spans="2:3" x14ac:dyDescent="0.25">
      <c r="B180" s="90">
        <v>26</v>
      </c>
      <c r="C180" s="97" t="s">
        <v>296</v>
      </c>
    </row>
    <row r="181" spans="2:3" x14ac:dyDescent="0.25">
      <c r="B181" s="90">
        <v>27</v>
      </c>
      <c r="C181" s="97" t="s">
        <v>297</v>
      </c>
    </row>
    <row r="182" spans="2:3" x14ac:dyDescent="0.25">
      <c r="B182" s="90">
        <v>28</v>
      </c>
      <c r="C182" s="97" t="s">
        <v>298</v>
      </c>
    </row>
    <row r="183" spans="2:3" x14ac:dyDescent="0.25">
      <c r="B183" s="90">
        <v>29</v>
      </c>
      <c r="C183" s="97" t="s">
        <v>299</v>
      </c>
    </row>
    <row r="184" spans="2:3" x14ac:dyDescent="0.25">
      <c r="B184" s="90">
        <v>30</v>
      </c>
      <c r="C184" s="97" t="s">
        <v>300</v>
      </c>
    </row>
    <row r="185" spans="2:3" x14ac:dyDescent="0.25">
      <c r="B185" s="90">
        <v>31</v>
      </c>
      <c r="C185" s="97" t="s">
        <v>301</v>
      </c>
    </row>
    <row r="186" spans="2:3" ht="14.45" customHeight="1" x14ac:dyDescent="0.25">
      <c r="B186" s="90">
        <v>32</v>
      </c>
      <c r="C186" s="97" t="s">
        <v>302</v>
      </c>
    </row>
    <row r="187" spans="2:3" x14ac:dyDescent="0.25">
      <c r="B187" s="90">
        <v>33</v>
      </c>
      <c r="C187" s="97" t="s">
        <v>303</v>
      </c>
    </row>
    <row r="188" spans="2:3" x14ac:dyDescent="0.25">
      <c r="B188" s="90">
        <v>34</v>
      </c>
      <c r="C188" s="97" t="s">
        <v>304</v>
      </c>
    </row>
    <row r="189" spans="2:3" x14ac:dyDescent="0.25">
      <c r="B189" s="90">
        <v>35</v>
      </c>
      <c r="C189" s="97" t="s">
        <v>305</v>
      </c>
    </row>
    <row r="190" spans="2:3" x14ac:dyDescent="0.25">
      <c r="B190" s="90">
        <v>36</v>
      </c>
      <c r="C190" s="97" t="s">
        <v>306</v>
      </c>
    </row>
    <row r="191" spans="2:3" x14ac:dyDescent="0.25">
      <c r="B191" s="90">
        <v>37</v>
      </c>
      <c r="C191" s="97" t="s">
        <v>307</v>
      </c>
    </row>
    <row r="192" spans="2:3" x14ac:dyDescent="0.25">
      <c r="B192" s="90">
        <v>38</v>
      </c>
      <c r="C192" s="97" t="s">
        <v>308</v>
      </c>
    </row>
    <row r="193" spans="2:3" x14ac:dyDescent="0.25">
      <c r="B193" s="90">
        <v>39</v>
      </c>
      <c r="C193" s="97" t="s">
        <v>309</v>
      </c>
    </row>
    <row r="194" spans="2:3" x14ac:dyDescent="0.25">
      <c r="B194" s="90">
        <v>40</v>
      </c>
      <c r="C194" s="97" t="s">
        <v>310</v>
      </c>
    </row>
    <row r="195" spans="2:3" x14ac:dyDescent="0.25">
      <c r="B195" s="90">
        <v>41</v>
      </c>
      <c r="C195" s="97" t="s">
        <v>311</v>
      </c>
    </row>
    <row r="196" spans="2:3" x14ac:dyDescent="0.25">
      <c r="B196" s="90">
        <v>42</v>
      </c>
      <c r="C196" s="97" t="s">
        <v>312</v>
      </c>
    </row>
    <row r="197" spans="2:3" x14ac:dyDescent="0.25">
      <c r="B197" s="90">
        <v>43</v>
      </c>
      <c r="C197" s="97" t="s">
        <v>313</v>
      </c>
    </row>
    <row r="198" spans="2:3" x14ac:dyDescent="0.25">
      <c r="B198" s="90">
        <v>44</v>
      </c>
      <c r="C198" s="97" t="s">
        <v>314</v>
      </c>
    </row>
    <row r="199" spans="2:3" x14ac:dyDescent="0.25">
      <c r="B199" s="90">
        <v>45</v>
      </c>
      <c r="C199" s="97" t="s">
        <v>315</v>
      </c>
    </row>
    <row r="200" spans="2:3" x14ac:dyDescent="0.25">
      <c r="B200" s="90">
        <v>46</v>
      </c>
      <c r="C200" s="97" t="s">
        <v>316</v>
      </c>
    </row>
    <row r="201" spans="2:3" x14ac:dyDescent="0.25">
      <c r="B201" s="90">
        <v>47</v>
      </c>
      <c r="C201" s="97" t="s">
        <v>317</v>
      </c>
    </row>
    <row r="202" spans="2:3" x14ac:dyDescent="0.25">
      <c r="B202" s="90">
        <v>48</v>
      </c>
      <c r="C202" s="97" t="s">
        <v>318</v>
      </c>
    </row>
    <row r="203" spans="2:3" x14ac:dyDescent="0.25">
      <c r="B203" s="90">
        <v>49</v>
      </c>
      <c r="C203" s="97" t="s">
        <v>319</v>
      </c>
    </row>
    <row r="204" spans="2:3" x14ac:dyDescent="0.25">
      <c r="B204" s="90">
        <v>50</v>
      </c>
      <c r="C204" s="97" t="s">
        <v>320</v>
      </c>
    </row>
    <row r="205" spans="2:3" x14ac:dyDescent="0.25">
      <c r="B205" s="90">
        <v>51</v>
      </c>
      <c r="C205" s="97" t="s">
        <v>321</v>
      </c>
    </row>
    <row r="206" spans="2:3" x14ac:dyDescent="0.25">
      <c r="B206" s="90">
        <v>52</v>
      </c>
      <c r="C206" s="97" t="s">
        <v>322</v>
      </c>
    </row>
    <row r="207" spans="2:3" x14ac:dyDescent="0.25">
      <c r="B207" s="90">
        <v>53</v>
      </c>
      <c r="C207" s="97" t="s">
        <v>323</v>
      </c>
    </row>
    <row r="208" spans="2:3" x14ac:dyDescent="0.25">
      <c r="B208" s="90">
        <v>54</v>
      </c>
      <c r="C208" s="97" t="s">
        <v>324</v>
      </c>
    </row>
    <row r="209" spans="2:3" x14ac:dyDescent="0.25">
      <c r="B209" s="90">
        <v>55</v>
      </c>
      <c r="C209" s="97" t="s">
        <v>325</v>
      </c>
    </row>
    <row r="210" spans="2:3" x14ac:dyDescent="0.25">
      <c r="B210" s="90">
        <v>56</v>
      </c>
      <c r="C210" s="97" t="s">
        <v>326</v>
      </c>
    </row>
    <row r="211" spans="2:3" x14ac:dyDescent="0.25">
      <c r="B211" s="90">
        <v>57</v>
      </c>
      <c r="C211" s="97" t="s">
        <v>327</v>
      </c>
    </row>
    <row r="212" spans="2:3" x14ac:dyDescent="0.25">
      <c r="B212" s="90">
        <v>58</v>
      </c>
      <c r="C212" s="97" t="s">
        <v>328</v>
      </c>
    </row>
    <row r="213" spans="2:3" x14ac:dyDescent="0.25">
      <c r="B213" s="90">
        <v>59</v>
      </c>
      <c r="C213" s="97" t="s">
        <v>329</v>
      </c>
    </row>
    <row r="214" spans="2:3" x14ac:dyDescent="0.25">
      <c r="B214" s="90">
        <v>60</v>
      </c>
      <c r="C214" s="97" t="s">
        <v>330</v>
      </c>
    </row>
    <row r="215" spans="2:3" x14ac:dyDescent="0.25">
      <c r="B215" s="90">
        <v>61</v>
      </c>
      <c r="C215" s="97" t="s">
        <v>331</v>
      </c>
    </row>
    <row r="216" spans="2:3" x14ac:dyDescent="0.25">
      <c r="B216" s="90">
        <v>62</v>
      </c>
      <c r="C216" s="97" t="s">
        <v>332</v>
      </c>
    </row>
    <row r="217" spans="2:3" x14ac:dyDescent="0.25">
      <c r="B217" s="90">
        <v>63</v>
      </c>
      <c r="C217" s="97" t="s">
        <v>333</v>
      </c>
    </row>
    <row r="218" spans="2:3" x14ac:dyDescent="0.25">
      <c r="B218" s="90">
        <v>64</v>
      </c>
      <c r="C218" s="97" t="s">
        <v>334</v>
      </c>
    </row>
    <row r="219" spans="2:3" x14ac:dyDescent="0.25">
      <c r="B219" s="90">
        <v>65</v>
      </c>
      <c r="C219" s="97" t="s">
        <v>335</v>
      </c>
    </row>
    <row r="220" spans="2:3" x14ac:dyDescent="0.25">
      <c r="B220" s="90">
        <v>66</v>
      </c>
      <c r="C220" s="97" t="s">
        <v>336</v>
      </c>
    </row>
    <row r="221" spans="2:3" x14ac:dyDescent="0.25">
      <c r="B221" s="90">
        <v>67</v>
      </c>
      <c r="C221" s="97" t="s">
        <v>337</v>
      </c>
    </row>
    <row r="222" spans="2:3" x14ac:dyDescent="0.25">
      <c r="B222" s="90">
        <v>68</v>
      </c>
      <c r="C222" s="97" t="s">
        <v>338</v>
      </c>
    </row>
    <row r="223" spans="2:3" x14ac:dyDescent="0.25">
      <c r="B223" s="90">
        <v>69</v>
      </c>
      <c r="C223" s="97" t="s">
        <v>339</v>
      </c>
    </row>
    <row r="224" spans="2:3" x14ac:dyDescent="0.25">
      <c r="B224" s="92">
        <v>70</v>
      </c>
      <c r="C224" s="149" t="s">
        <v>410</v>
      </c>
    </row>
    <row r="228" ht="51" customHeight="1" x14ac:dyDescent="0.25"/>
    <row r="277" spans="2:3" x14ac:dyDescent="0.25">
      <c r="B277" s="321" t="s">
        <v>1031</v>
      </c>
      <c r="C277" s="321" t="s">
        <v>1031</v>
      </c>
    </row>
    <row r="278" spans="2:3" x14ac:dyDescent="0.25">
      <c r="B278" s="158" t="s">
        <v>30</v>
      </c>
      <c r="C278" s="140" t="s">
        <v>5</v>
      </c>
    </row>
    <row r="279" spans="2:3" x14ac:dyDescent="0.25">
      <c r="B279" s="141" t="s">
        <v>342</v>
      </c>
      <c r="C279" s="274" t="s">
        <v>1245</v>
      </c>
    </row>
    <row r="280" spans="2:3" x14ac:dyDescent="0.25">
      <c r="B280" s="141" t="s">
        <v>343</v>
      </c>
      <c r="C280" s="274" t="s">
        <v>465</v>
      </c>
    </row>
    <row r="281" spans="2:3" x14ac:dyDescent="0.25">
      <c r="B281" s="137" t="s">
        <v>152</v>
      </c>
      <c r="C281" s="97" t="s">
        <v>36</v>
      </c>
    </row>
    <row r="282" spans="2:3" x14ac:dyDescent="0.25">
      <c r="B282" s="141" t="s">
        <v>432</v>
      </c>
      <c r="C282" s="137" t="s">
        <v>481</v>
      </c>
    </row>
    <row r="283" spans="2:3" x14ac:dyDescent="0.25">
      <c r="B283" s="137" t="s">
        <v>153</v>
      </c>
      <c r="C283" s="137" t="s">
        <v>154</v>
      </c>
    </row>
    <row r="284" spans="2:3" x14ac:dyDescent="0.25">
      <c r="B284" s="137" t="s">
        <v>155</v>
      </c>
      <c r="C284" s="137" t="s">
        <v>161</v>
      </c>
    </row>
    <row r="285" spans="2:3" x14ac:dyDescent="0.25">
      <c r="B285" s="159" t="s">
        <v>419</v>
      </c>
      <c r="C285" s="306" t="s">
        <v>1247</v>
      </c>
    </row>
    <row r="286" spans="2:3" x14ac:dyDescent="0.25">
      <c r="B286" s="137" t="s">
        <v>156</v>
      </c>
      <c r="C286" s="97" t="s">
        <v>157</v>
      </c>
    </row>
    <row r="287" spans="2:3" x14ac:dyDescent="0.25">
      <c r="B287" s="137" t="s">
        <v>158</v>
      </c>
      <c r="C287" s="97" t="s">
        <v>159</v>
      </c>
    </row>
    <row r="288" spans="2:3" ht="31.5" x14ac:dyDescent="0.25">
      <c r="B288" s="143" t="s">
        <v>160</v>
      </c>
      <c r="C288" s="142" t="s">
        <v>340</v>
      </c>
    </row>
    <row r="289" spans="2:3" x14ac:dyDescent="0.25">
      <c r="B289" s="147" t="s">
        <v>39</v>
      </c>
      <c r="C289" s="274" t="s">
        <v>1197</v>
      </c>
    </row>
    <row r="290" spans="2:3" x14ac:dyDescent="0.25">
      <c r="B290" s="297" t="s">
        <v>1132</v>
      </c>
      <c r="C290" s="274" t="s">
        <v>1135</v>
      </c>
    </row>
    <row r="291" spans="2:3" x14ac:dyDescent="0.25">
      <c r="B291" s="297" t="s">
        <v>1007</v>
      </c>
      <c r="C291" s="274" t="s">
        <v>1133</v>
      </c>
    </row>
    <row r="292" spans="2:3" x14ac:dyDescent="0.25">
      <c r="B292" s="147" t="s">
        <v>119</v>
      </c>
      <c r="C292" s="97" t="s">
        <v>76</v>
      </c>
    </row>
    <row r="293" spans="2:3" x14ac:dyDescent="0.25">
      <c r="B293" s="143" t="s">
        <v>361</v>
      </c>
      <c r="C293" s="97" t="s">
        <v>360</v>
      </c>
    </row>
    <row r="294" spans="2:3" x14ac:dyDescent="0.25">
      <c r="B294" s="143" t="s">
        <v>1</v>
      </c>
      <c r="C294" s="97" t="s">
        <v>509</v>
      </c>
    </row>
    <row r="295" spans="2:3" x14ac:dyDescent="0.25">
      <c r="B295" s="143" t="s">
        <v>437</v>
      </c>
      <c r="C295" s="97" t="s">
        <v>563</v>
      </c>
    </row>
    <row r="296" spans="2:3" x14ac:dyDescent="0.25">
      <c r="B296" s="143" t="s">
        <v>438</v>
      </c>
      <c r="C296" s="274" t="s">
        <v>1195</v>
      </c>
    </row>
    <row r="297" spans="2:3" x14ac:dyDescent="0.25">
      <c r="B297" s="144" t="s">
        <v>436</v>
      </c>
      <c r="C297" s="160" t="s">
        <v>431</v>
      </c>
    </row>
    <row r="298" spans="2:3" x14ac:dyDescent="0.25">
      <c r="B298" s="147" t="s">
        <v>272</v>
      </c>
      <c r="C298" s="97" t="s">
        <v>508</v>
      </c>
    </row>
    <row r="299" spans="2:3" x14ac:dyDescent="0.25">
      <c r="B299" s="161" t="s">
        <v>249</v>
      </c>
      <c r="C299" s="162" t="s">
        <v>439</v>
      </c>
    </row>
    <row r="300" spans="2:3" x14ac:dyDescent="0.25">
      <c r="B300" s="161" t="s">
        <v>1116</v>
      </c>
      <c r="C300" s="162" t="s">
        <v>1035</v>
      </c>
    </row>
    <row r="301" spans="2:3" x14ac:dyDescent="0.25">
      <c r="B301" s="163" t="s">
        <v>26</v>
      </c>
      <c r="C301" s="164" t="s">
        <v>1117</v>
      </c>
    </row>
    <row r="302" spans="2:3" x14ac:dyDescent="0.25">
      <c r="B302" s="148" t="s">
        <v>747</v>
      </c>
      <c r="C302" s="149" t="s">
        <v>1118</v>
      </c>
    </row>
    <row r="305" spans="2:3" x14ac:dyDescent="0.25">
      <c r="B305" s="318" t="s">
        <v>1293</v>
      </c>
      <c r="C305" s="326" t="s">
        <v>1027</v>
      </c>
    </row>
    <row r="306" spans="2:3" x14ac:dyDescent="0.25">
      <c r="B306" s="139" t="s">
        <v>30</v>
      </c>
      <c r="C306" s="140" t="s">
        <v>5</v>
      </c>
    </row>
    <row r="307" spans="2:3" x14ac:dyDescent="0.25">
      <c r="B307" s="141" t="s">
        <v>342</v>
      </c>
      <c r="C307" s="97" t="s">
        <v>151</v>
      </c>
    </row>
    <row r="308" spans="2:3" x14ac:dyDescent="0.25">
      <c r="B308" s="141" t="s">
        <v>343</v>
      </c>
      <c r="C308" s="97" t="s">
        <v>465</v>
      </c>
    </row>
    <row r="309" spans="2:3" x14ac:dyDescent="0.25">
      <c r="B309" s="137" t="s">
        <v>152</v>
      </c>
      <c r="C309" s="97" t="s">
        <v>36</v>
      </c>
    </row>
    <row r="310" spans="2:3" x14ac:dyDescent="0.25">
      <c r="B310" s="141" t="s">
        <v>432</v>
      </c>
      <c r="C310" s="97" t="s">
        <v>482</v>
      </c>
    </row>
    <row r="311" spans="2:3" x14ac:dyDescent="0.25">
      <c r="B311" s="137" t="s">
        <v>153</v>
      </c>
      <c r="C311" s="137" t="s">
        <v>154</v>
      </c>
    </row>
    <row r="312" spans="2:3" x14ac:dyDescent="0.25">
      <c r="B312" s="137" t="s">
        <v>155</v>
      </c>
      <c r="C312" s="97" t="s">
        <v>163</v>
      </c>
    </row>
    <row r="313" spans="2:3" x14ac:dyDescent="0.25">
      <c r="B313" s="137" t="s">
        <v>156</v>
      </c>
      <c r="C313" s="97" t="s">
        <v>157</v>
      </c>
    </row>
    <row r="314" spans="2:3" x14ac:dyDescent="0.25">
      <c r="B314" s="137" t="s">
        <v>158</v>
      </c>
      <c r="C314" s="97" t="s">
        <v>159</v>
      </c>
    </row>
    <row r="315" spans="2:3" ht="31.5" x14ac:dyDescent="0.25">
      <c r="B315" s="142" t="s">
        <v>160</v>
      </c>
      <c r="C315" s="142" t="s">
        <v>352</v>
      </c>
    </row>
    <row r="316" spans="2:3" x14ac:dyDescent="0.25">
      <c r="B316" s="143" t="s">
        <v>423</v>
      </c>
      <c r="C316" s="142" t="s">
        <v>424</v>
      </c>
    </row>
    <row r="317" spans="2:3" x14ac:dyDescent="0.25">
      <c r="B317" s="255" t="s">
        <v>39</v>
      </c>
      <c r="C317" s="254" t="s">
        <v>1196</v>
      </c>
    </row>
    <row r="318" spans="2:3" x14ac:dyDescent="0.25">
      <c r="B318" s="255" t="s">
        <v>1132</v>
      </c>
      <c r="C318" s="254" t="s">
        <v>1136</v>
      </c>
    </row>
    <row r="319" spans="2:3" x14ac:dyDescent="0.25">
      <c r="B319" s="255" t="s">
        <v>1007</v>
      </c>
      <c r="C319" s="254" t="s">
        <v>1133</v>
      </c>
    </row>
    <row r="320" spans="2:3" x14ac:dyDescent="0.25">
      <c r="B320" s="143" t="s">
        <v>361</v>
      </c>
      <c r="C320" s="142" t="s">
        <v>360</v>
      </c>
    </row>
    <row r="321" spans="2:3" ht="31.5" x14ac:dyDescent="0.25">
      <c r="B321" s="142" t="s">
        <v>1</v>
      </c>
      <c r="C321" s="142" t="s">
        <v>551</v>
      </c>
    </row>
    <row r="322" spans="2:3" x14ac:dyDescent="0.25">
      <c r="B322" s="142" t="s">
        <v>437</v>
      </c>
      <c r="C322" s="142" t="s">
        <v>563</v>
      </c>
    </row>
    <row r="323" spans="2:3" x14ac:dyDescent="0.25">
      <c r="B323" s="142" t="s">
        <v>438</v>
      </c>
      <c r="C323" s="254" t="s">
        <v>1195</v>
      </c>
    </row>
    <row r="324" spans="2:3" x14ac:dyDescent="0.25">
      <c r="B324" s="144" t="s">
        <v>436</v>
      </c>
      <c r="C324" s="145" t="s">
        <v>431</v>
      </c>
    </row>
    <row r="325" spans="2:3" x14ac:dyDescent="0.25">
      <c r="B325" s="147" t="s">
        <v>272</v>
      </c>
      <c r="C325" s="97" t="s">
        <v>510</v>
      </c>
    </row>
    <row r="326" spans="2:3" x14ac:dyDescent="0.25">
      <c r="B326" s="148" t="s">
        <v>249</v>
      </c>
      <c r="C326" s="149" t="s">
        <v>439</v>
      </c>
    </row>
    <row r="327" spans="2:3" x14ac:dyDescent="0.25">
      <c r="B327" s="148" t="s">
        <v>1116</v>
      </c>
      <c r="C327" s="149" t="s">
        <v>1035</v>
      </c>
    </row>
    <row r="328" spans="2:3" x14ac:dyDescent="0.25">
      <c r="B328" s="150" t="s">
        <v>26</v>
      </c>
      <c r="C328" s="151" t="s">
        <v>1120</v>
      </c>
    </row>
    <row r="329" spans="2:3" x14ac:dyDescent="0.25">
      <c r="B329" s="150" t="s">
        <v>747</v>
      </c>
      <c r="C329" s="151" t="s">
        <v>1121</v>
      </c>
    </row>
  </sheetData>
  <mergeCells count="16">
    <mergeCell ref="B305:C305"/>
    <mergeCell ref="B277:C277"/>
    <mergeCell ref="B170:C170"/>
    <mergeCell ref="B3:D3"/>
    <mergeCell ref="B17:D17"/>
    <mergeCell ref="B19:B21"/>
    <mergeCell ref="B22:B24"/>
    <mergeCell ref="B25:B27"/>
    <mergeCell ref="B5:B7"/>
    <mergeCell ref="B8:B10"/>
    <mergeCell ref="B11:B13"/>
    <mergeCell ref="B56:C56"/>
    <mergeCell ref="B69:C69"/>
    <mergeCell ref="B83:C83"/>
    <mergeCell ref="B98:C98"/>
    <mergeCell ref="B156:C156"/>
  </mergeCells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CE54-FA68-491F-8AB5-5E33CA4BDBFB}">
  <dimension ref="B1:D164"/>
  <sheetViews>
    <sheetView zoomScale="85" zoomScaleNormal="85" workbookViewId="0">
      <selection activeCell="E133" sqref="E133"/>
    </sheetView>
  </sheetViews>
  <sheetFormatPr defaultColWidth="8.85546875" defaultRowHeight="15.75" x14ac:dyDescent="0.3"/>
  <cols>
    <col min="1" max="1" customWidth="true" style="105" width="14.42578125" collapsed="true"/>
    <col min="2" max="2" customWidth="true" style="105" width="56.42578125" collapsed="true"/>
    <col min="3" max="3" customWidth="true" style="105" width="93.140625" collapsed="true"/>
    <col min="4" max="4" customWidth="true" style="105" width="5.140625" collapsed="true"/>
    <col min="5" max="5" customWidth="true" width="58.0" collapsed="true"/>
    <col min="6" max="6" customWidth="true" width="65.85546875" collapsed="true"/>
    <col min="7" max="18" width="8.85546875" collapsed="true"/>
    <col min="19" max="16384" style="105" width="8.85546875" collapsed="true"/>
  </cols>
  <sheetData>
    <row r="1" spans="2:4" x14ac:dyDescent="0.3">
      <c r="D1" s="166" t="s">
        <v>357</v>
      </c>
    </row>
    <row r="3" spans="2:4" ht="41.45" customHeight="1" x14ac:dyDescent="0.3">
      <c r="B3" s="332" t="s">
        <v>1223</v>
      </c>
      <c r="C3" s="332"/>
      <c r="D3" s="167"/>
    </row>
    <row r="4" spans="2:4" x14ac:dyDescent="0.3">
      <c r="B4" s="168" t="s">
        <v>4</v>
      </c>
      <c r="C4" s="169" t="s">
        <v>5</v>
      </c>
      <c r="D4" s="170"/>
    </row>
    <row r="5" spans="2:4" x14ac:dyDescent="0.3">
      <c r="B5" s="171" t="s">
        <v>73</v>
      </c>
      <c r="C5" s="172" t="s">
        <v>74</v>
      </c>
      <c r="D5" s="170"/>
    </row>
    <row r="6" spans="2:4" x14ac:dyDescent="0.3">
      <c r="B6" s="296" t="s">
        <v>420</v>
      </c>
      <c r="C6" s="295" t="s">
        <v>1134</v>
      </c>
      <c r="D6" s="170"/>
    </row>
    <row r="7" spans="2:4" x14ac:dyDescent="0.3">
      <c r="B7" s="173" t="s">
        <v>39</v>
      </c>
      <c r="C7" s="272" t="s">
        <v>1199</v>
      </c>
      <c r="D7" s="170"/>
    </row>
    <row r="9" spans="2:4" x14ac:dyDescent="0.3">
      <c r="D9" s="166" t="s">
        <v>357</v>
      </c>
    </row>
    <row r="11" spans="2:4" x14ac:dyDescent="0.3">
      <c r="B11" s="175"/>
      <c r="C11" s="175"/>
    </row>
    <row r="12" spans="2:4" x14ac:dyDescent="0.3">
      <c r="B12" s="333" t="s">
        <v>1224</v>
      </c>
      <c r="C12" s="333"/>
    </row>
    <row r="13" spans="2:4" x14ac:dyDescent="0.3">
      <c r="B13" s="168" t="s">
        <v>4</v>
      </c>
      <c r="C13" s="169" t="s">
        <v>5</v>
      </c>
    </row>
    <row r="14" spans="2:4" x14ac:dyDescent="0.3">
      <c r="B14" s="177" t="s">
        <v>227</v>
      </c>
      <c r="C14" s="172" t="s">
        <v>977</v>
      </c>
    </row>
    <row r="15" spans="2:4" x14ac:dyDescent="0.3">
      <c r="B15" s="177" t="s">
        <v>576</v>
      </c>
      <c r="C15" s="178" t="s">
        <v>620</v>
      </c>
    </row>
    <row r="16" spans="2:4" ht="31.5" x14ac:dyDescent="0.3">
      <c r="B16" s="177" t="s">
        <v>709</v>
      </c>
      <c r="C16" s="178" t="s">
        <v>710</v>
      </c>
    </row>
    <row r="17" spans="2:3" ht="31.5" x14ac:dyDescent="0.3">
      <c r="B17" s="288" t="s">
        <v>230</v>
      </c>
      <c r="C17" s="174" t="s">
        <v>1150</v>
      </c>
    </row>
    <row r="18" spans="2:3" ht="47.25" x14ac:dyDescent="0.3">
      <c r="B18" s="273" t="s">
        <v>225</v>
      </c>
      <c r="C18" s="272" t="s">
        <v>1028</v>
      </c>
    </row>
    <row r="19" spans="2:3" x14ac:dyDescent="0.3">
      <c r="B19" s="179"/>
    </row>
    <row r="23" spans="2:3" ht="49.35" customHeight="1" x14ac:dyDescent="0.3">
      <c r="B23" s="332" t="s">
        <v>1225</v>
      </c>
      <c r="C23" s="332"/>
    </row>
    <row r="24" spans="2:3" x14ac:dyDescent="0.3">
      <c r="B24" s="197" t="s">
        <v>237</v>
      </c>
      <c r="C24" s="198" t="s">
        <v>367</v>
      </c>
    </row>
    <row r="25" spans="2:3" x14ac:dyDescent="0.3">
      <c r="B25" s="184" t="s">
        <v>234</v>
      </c>
      <c r="C25" s="115" t="s">
        <v>368</v>
      </c>
    </row>
    <row r="26" spans="2:3" x14ac:dyDescent="0.3">
      <c r="B26" s="184" t="s">
        <v>235</v>
      </c>
      <c r="C26" s="115" t="s">
        <v>369</v>
      </c>
    </row>
    <row r="27" spans="2:3" x14ac:dyDescent="0.3">
      <c r="B27" s="184" t="s">
        <v>32</v>
      </c>
      <c r="C27" s="115" t="s">
        <v>370</v>
      </c>
    </row>
    <row r="28" spans="2:3" x14ac:dyDescent="0.3">
      <c r="B28" s="184" t="s">
        <v>35</v>
      </c>
      <c r="C28" s="115" t="s">
        <v>371</v>
      </c>
    </row>
    <row r="29" spans="2:3" x14ac:dyDescent="0.3">
      <c r="B29" s="184" t="s">
        <v>236</v>
      </c>
      <c r="C29" s="187" t="s">
        <v>372</v>
      </c>
    </row>
    <row r="30" spans="2:3" x14ac:dyDescent="0.3">
      <c r="B30" s="188" t="s">
        <v>40</v>
      </c>
      <c r="C30" s="189" t="s">
        <v>373</v>
      </c>
    </row>
    <row r="34" spans="2:3" ht="37.700000000000003" customHeight="1" x14ac:dyDescent="0.3">
      <c r="B34" s="332" t="s">
        <v>911</v>
      </c>
      <c r="C34" s="332"/>
    </row>
    <row r="35" spans="2:3" x14ac:dyDescent="0.3">
      <c r="B35" s="197" t="s">
        <v>415</v>
      </c>
      <c r="C35" s="198" t="s">
        <v>367</v>
      </c>
    </row>
    <row r="36" spans="2:3" x14ac:dyDescent="0.3">
      <c r="B36" s="184" t="s">
        <v>117</v>
      </c>
      <c r="C36" s="115" t="s">
        <v>416</v>
      </c>
    </row>
    <row r="37" spans="2:3" x14ac:dyDescent="0.3">
      <c r="B37" s="184" t="s">
        <v>118</v>
      </c>
      <c r="C37" s="115" t="s">
        <v>417</v>
      </c>
    </row>
    <row r="38" spans="2:3" x14ac:dyDescent="0.3">
      <c r="B38" s="188" t="s">
        <v>119</v>
      </c>
      <c r="C38" s="190" t="s">
        <v>418</v>
      </c>
    </row>
    <row r="42" spans="2:3" ht="28.7" customHeight="1" x14ac:dyDescent="0.3">
      <c r="B42" s="332" t="s">
        <v>1226</v>
      </c>
      <c r="C42" s="332"/>
    </row>
    <row r="43" spans="2:3" x14ac:dyDescent="0.3">
      <c r="B43" s="247" t="s">
        <v>228</v>
      </c>
      <c r="C43" s="248" t="s">
        <v>229</v>
      </c>
    </row>
    <row r="44" spans="2:3" x14ac:dyDescent="0.3">
      <c r="B44" s="193" t="s">
        <v>225</v>
      </c>
      <c r="C44" s="200" t="s">
        <v>1149</v>
      </c>
    </row>
    <row r="45" spans="2:3" x14ac:dyDescent="0.3">
      <c r="B45" s="193" t="s">
        <v>226</v>
      </c>
      <c r="C45" s="122" t="s">
        <v>1087</v>
      </c>
    </row>
    <row r="46" spans="2:3" x14ac:dyDescent="0.3">
      <c r="B46" s="193" t="s">
        <v>223</v>
      </c>
      <c r="C46" s="122" t="s">
        <v>1088</v>
      </c>
    </row>
    <row r="47" spans="2:3" x14ac:dyDescent="0.3">
      <c r="B47" s="199" t="s">
        <v>224</v>
      </c>
      <c r="C47" s="190" t="s">
        <v>1089</v>
      </c>
    </row>
    <row r="52" spans="2:3" ht="33" customHeight="1" x14ac:dyDescent="0.3">
      <c r="B52" s="332" t="s">
        <v>912</v>
      </c>
      <c r="C52" s="332"/>
    </row>
    <row r="53" spans="2:3" x14ac:dyDescent="0.3">
      <c r="B53" s="191" t="s">
        <v>30</v>
      </c>
      <c r="C53" s="192" t="s">
        <v>5</v>
      </c>
    </row>
    <row r="54" spans="2:3" x14ac:dyDescent="0.3">
      <c r="B54" s="193" t="s">
        <v>564</v>
      </c>
      <c r="C54" s="122" t="s">
        <v>565</v>
      </c>
    </row>
    <row r="55" spans="2:3" x14ac:dyDescent="0.3">
      <c r="B55" s="193" t="s">
        <v>566</v>
      </c>
      <c r="C55" s="122" t="s">
        <v>1081</v>
      </c>
    </row>
    <row r="56" spans="2:3" x14ac:dyDescent="0.3">
      <c r="B56" s="193" t="s">
        <v>567</v>
      </c>
      <c r="C56" s="122" t="s">
        <v>1082</v>
      </c>
    </row>
    <row r="57" spans="2:3" x14ac:dyDescent="0.3">
      <c r="B57" s="193" t="s">
        <v>568</v>
      </c>
      <c r="C57" s="122" t="s">
        <v>1083</v>
      </c>
    </row>
    <row r="58" spans="2:3" x14ac:dyDescent="0.3">
      <c r="B58" s="193" t="s">
        <v>569</v>
      </c>
      <c r="C58" s="359" t="s">
        <v>1317</v>
      </c>
    </row>
    <row r="59" spans="2:3" x14ac:dyDescent="0.3">
      <c r="B59" s="193" t="s">
        <v>570</v>
      </c>
      <c r="C59" s="122" t="s">
        <v>1085</v>
      </c>
    </row>
    <row r="60" spans="2:3" x14ac:dyDescent="0.3">
      <c r="B60" s="193" t="s">
        <v>571</v>
      </c>
      <c r="C60" s="122" t="s">
        <v>1086</v>
      </c>
    </row>
    <row r="61" spans="2:3" x14ac:dyDescent="0.3">
      <c r="B61" s="238" t="s">
        <v>978</v>
      </c>
      <c r="C61" s="239" t="s">
        <v>1067</v>
      </c>
    </row>
    <row r="62" spans="2:3" x14ac:dyDescent="0.3">
      <c r="B62" s="238" t="s">
        <v>979</v>
      </c>
      <c r="C62" s="239" t="s">
        <v>1068</v>
      </c>
    </row>
    <row r="63" spans="2:3" x14ac:dyDescent="0.3">
      <c r="B63" s="238" t="s">
        <v>980</v>
      </c>
      <c r="C63" s="239" t="s">
        <v>1069</v>
      </c>
    </row>
    <row r="64" spans="2:3" x14ac:dyDescent="0.3">
      <c r="B64" s="238" t="s">
        <v>981</v>
      </c>
      <c r="C64" s="239" t="s">
        <v>1070</v>
      </c>
    </row>
    <row r="65" spans="2:3" x14ac:dyDescent="0.3">
      <c r="B65" s="238" t="s">
        <v>982</v>
      </c>
      <c r="C65" s="239" t="s">
        <v>1071</v>
      </c>
    </row>
    <row r="66" spans="2:3" x14ac:dyDescent="0.3">
      <c r="B66" s="238" t="s">
        <v>983</v>
      </c>
      <c r="C66" s="239" t="s">
        <v>1072</v>
      </c>
    </row>
    <row r="67" spans="2:3" ht="47.25" x14ac:dyDescent="0.3">
      <c r="B67" s="194" t="s">
        <v>574</v>
      </c>
      <c r="C67" s="200" t="s">
        <v>577</v>
      </c>
    </row>
    <row r="68" spans="2:3" x14ac:dyDescent="0.3">
      <c r="B68" s="193" t="s">
        <v>572</v>
      </c>
      <c r="C68" s="122" t="s">
        <v>615</v>
      </c>
    </row>
    <row r="69" spans="2:3" x14ac:dyDescent="0.3">
      <c r="B69" s="193" t="s">
        <v>573</v>
      </c>
      <c r="C69" s="360" t="s">
        <v>614</v>
      </c>
    </row>
    <row r="70" spans="2:3" x14ac:dyDescent="0.3">
      <c r="B70" s="215" t="s">
        <v>575</v>
      </c>
      <c r="C70" s="244" t="s">
        <v>613</v>
      </c>
    </row>
    <row r="71" spans="2:3" ht="47.25" x14ac:dyDescent="0.3">
      <c r="B71" s="240" t="s">
        <v>984</v>
      </c>
      <c r="C71" s="241" t="s">
        <v>990</v>
      </c>
    </row>
    <row r="72" spans="2:3" ht="33" customHeight="1" x14ac:dyDescent="0.3">
      <c r="B72" s="240" t="s">
        <v>985</v>
      </c>
      <c r="C72" s="242" t="s">
        <v>986</v>
      </c>
    </row>
    <row r="73" spans="2:3" ht="31.5" x14ac:dyDescent="0.3">
      <c r="B73" s="240" t="s">
        <v>987</v>
      </c>
      <c r="C73" s="243" t="s">
        <v>989</v>
      </c>
    </row>
    <row r="74" spans="2:3" x14ac:dyDescent="0.3">
      <c r="B74" s="245" t="s">
        <v>995</v>
      </c>
      <c r="C74" s="246" t="s">
        <v>988</v>
      </c>
    </row>
    <row r="79" spans="2:3" customFormat="1" ht="29.45" customHeight="1" x14ac:dyDescent="0.3">
      <c r="B79" s="334" t="s">
        <v>1016</v>
      </c>
      <c r="C79" s="335"/>
    </row>
    <row r="80" spans="2:3" customFormat="1" x14ac:dyDescent="0.3">
      <c r="B80" s="247" t="s">
        <v>228</v>
      </c>
      <c r="C80" s="248" t="s">
        <v>229</v>
      </c>
    </row>
    <row r="81" spans="2:3" customFormat="1" ht="15.6" customHeight="1" x14ac:dyDescent="0.3">
      <c r="B81" s="261" t="s">
        <v>225</v>
      </c>
      <c r="C81" s="200" t="s">
        <v>1017</v>
      </c>
    </row>
    <row r="82" spans="2:3" customFormat="1" x14ac:dyDescent="0.3">
      <c r="B82" s="193" t="s">
        <v>226</v>
      </c>
      <c r="C82" s="200" t="s">
        <v>1018</v>
      </c>
    </row>
    <row r="83" spans="2:3" customFormat="1" x14ac:dyDescent="0.3">
      <c r="B83" s="193" t="s">
        <v>223</v>
      </c>
      <c r="C83" s="200" t="s">
        <v>1019</v>
      </c>
    </row>
    <row r="84" spans="2:3" customFormat="1" x14ac:dyDescent="0.3">
      <c r="B84" s="199" t="s">
        <v>224</v>
      </c>
      <c r="C84" s="262" t="s">
        <v>1020</v>
      </c>
    </row>
    <row r="85" spans="2:3" customFormat="1" x14ac:dyDescent="0.3">
      <c r="B85" s="105"/>
      <c r="C85" s="105"/>
    </row>
    <row r="86" spans="2:3" customFormat="1" x14ac:dyDescent="0.3">
      <c r="B86" s="105"/>
      <c r="C86" s="105"/>
    </row>
    <row r="87" spans="2:3" customFormat="1" x14ac:dyDescent="0.3">
      <c r="B87" s="105"/>
      <c r="C87" s="105"/>
    </row>
    <row r="88" spans="2:3" customFormat="1" x14ac:dyDescent="0.3">
      <c r="B88" s="105"/>
      <c r="C88" s="105"/>
    </row>
    <row r="89" spans="2:3" customFormat="1" x14ac:dyDescent="0.3">
      <c r="B89" s="334" t="s">
        <v>1021</v>
      </c>
      <c r="C89" s="335"/>
    </row>
    <row r="90" spans="2:3" customFormat="1" x14ac:dyDescent="0.3">
      <c r="B90" s="247" t="s">
        <v>30</v>
      </c>
      <c r="C90" s="248" t="s">
        <v>5</v>
      </c>
    </row>
    <row r="91" spans="2:3" customFormat="1" x14ac:dyDescent="0.3">
      <c r="B91" s="263" t="s">
        <v>1022</v>
      </c>
      <c r="C91" s="264" t="s">
        <v>1023</v>
      </c>
    </row>
    <row r="92" spans="2:3" customFormat="1" x14ac:dyDescent="0.3">
      <c r="B92" s="265" t="s">
        <v>226</v>
      </c>
      <c r="C92" s="122" t="s">
        <v>1090</v>
      </c>
    </row>
    <row r="93" spans="2:3" customFormat="1" x14ac:dyDescent="0.3">
      <c r="B93" s="263" t="s">
        <v>991</v>
      </c>
      <c r="C93" s="122" t="s">
        <v>1042</v>
      </c>
    </row>
    <row r="94" spans="2:3" customFormat="1" x14ac:dyDescent="0.3">
      <c r="B94" s="265" t="s">
        <v>223</v>
      </c>
      <c r="C94" s="122" t="s">
        <v>1088</v>
      </c>
    </row>
    <row r="95" spans="2:3" customFormat="1" x14ac:dyDescent="0.3">
      <c r="B95" s="263" t="s">
        <v>992</v>
      </c>
      <c r="C95" s="122" t="s">
        <v>1065</v>
      </c>
    </row>
    <row r="96" spans="2:3" customFormat="1" x14ac:dyDescent="0.3">
      <c r="B96" s="265" t="s">
        <v>224</v>
      </c>
      <c r="C96" s="122" t="s">
        <v>1091</v>
      </c>
    </row>
    <row r="97" spans="2:3" customFormat="1" x14ac:dyDescent="0.3">
      <c r="B97" s="266" t="s">
        <v>993</v>
      </c>
      <c r="C97" s="190" t="s">
        <v>1066</v>
      </c>
    </row>
    <row r="98" spans="2:3" customFormat="1" x14ac:dyDescent="0.3">
      <c r="B98" s="105"/>
      <c r="C98" s="105"/>
    </row>
    <row r="99" spans="2:3" customFormat="1" x14ac:dyDescent="0.3">
      <c r="B99" s="105"/>
      <c r="C99" s="105"/>
    </row>
    <row r="100" spans="2:3" customFormat="1" x14ac:dyDescent="0.3">
      <c r="B100" s="105"/>
      <c r="C100" s="105"/>
    </row>
    <row r="101" spans="2:3" customFormat="1" ht="34.35" customHeight="1" x14ac:dyDescent="0.3">
      <c r="B101" s="334" t="s">
        <v>1227</v>
      </c>
      <c r="C101" s="335"/>
    </row>
    <row r="102" spans="2:3" customFormat="1" x14ac:dyDescent="0.3">
      <c r="B102" s="247" t="s">
        <v>237</v>
      </c>
      <c r="C102" s="248" t="s">
        <v>1024</v>
      </c>
    </row>
    <row r="103" spans="2:3" customFormat="1" x14ac:dyDescent="0.3">
      <c r="B103" s="265" t="s">
        <v>234</v>
      </c>
      <c r="C103" s="122" t="s">
        <v>1048</v>
      </c>
    </row>
    <row r="104" spans="2:3" customFormat="1" ht="47.25" x14ac:dyDescent="0.3">
      <c r="B104" s="265" t="s">
        <v>235</v>
      </c>
      <c r="C104" s="200" t="s">
        <v>1049</v>
      </c>
    </row>
    <row r="105" spans="2:3" customFormat="1" x14ac:dyDescent="0.3">
      <c r="B105" s="265" t="s">
        <v>32</v>
      </c>
      <c r="C105" s="122" t="s">
        <v>1046</v>
      </c>
    </row>
    <row r="106" spans="2:3" customFormat="1" x14ac:dyDescent="0.3">
      <c r="B106" s="265" t="s">
        <v>35</v>
      </c>
      <c r="C106" s="122" t="s">
        <v>1050</v>
      </c>
    </row>
    <row r="107" spans="2:3" customFormat="1" x14ac:dyDescent="0.3">
      <c r="B107" s="265" t="s">
        <v>236</v>
      </c>
      <c r="C107" s="122" t="s">
        <v>1051</v>
      </c>
    </row>
    <row r="108" spans="2:3" customFormat="1" x14ac:dyDescent="0.3">
      <c r="B108" s="267" t="s">
        <v>40</v>
      </c>
      <c r="C108" s="190" t="s">
        <v>1047</v>
      </c>
    </row>
    <row r="109" spans="2:3" customFormat="1" x14ac:dyDescent="0.3">
      <c r="B109" s="105"/>
      <c r="C109" s="105"/>
    </row>
    <row r="110" spans="2:3" customFormat="1" x14ac:dyDescent="0.3">
      <c r="B110" s="105"/>
      <c r="C110" s="105"/>
    </row>
    <row r="111" spans="2:3" customFormat="1" ht="15" x14ac:dyDescent="0.25"/>
    <row r="112" spans="2:3" customFormat="1" ht="15" x14ac:dyDescent="0.25"/>
    <row r="113" spans="2:3" x14ac:dyDescent="0.3">
      <c r="B113" s="334" t="s">
        <v>1228</v>
      </c>
      <c r="C113" s="335"/>
    </row>
    <row r="114" spans="2:3" x14ac:dyDescent="0.3">
      <c r="B114" s="247" t="s">
        <v>237</v>
      </c>
      <c r="C114" s="248" t="s">
        <v>1024</v>
      </c>
    </row>
    <row r="115" spans="2:3" x14ac:dyDescent="0.3">
      <c r="B115" s="265" t="s">
        <v>32</v>
      </c>
      <c r="C115" s="122" t="s">
        <v>1046</v>
      </c>
    </row>
    <row r="116" spans="2:3" x14ac:dyDescent="0.3">
      <c r="B116" s="267" t="s">
        <v>40</v>
      </c>
      <c r="C116" s="190" t="s">
        <v>1047</v>
      </c>
    </row>
    <row r="120" spans="2:3" ht="15" customHeight="1" x14ac:dyDescent="0.3"/>
    <row r="121" spans="2:3" x14ac:dyDescent="0.3">
      <c r="B121" s="334" t="s">
        <v>1229</v>
      </c>
      <c r="C121" s="334" t="s">
        <v>1122</v>
      </c>
    </row>
    <row r="122" spans="2:3" x14ac:dyDescent="0.3">
      <c r="B122" s="269" t="s">
        <v>4</v>
      </c>
      <c r="C122" s="270" t="s">
        <v>5</v>
      </c>
    </row>
    <row r="123" spans="2:3" x14ac:dyDescent="0.3">
      <c r="B123" s="176" t="s">
        <v>1033</v>
      </c>
      <c r="C123" s="176" t="s">
        <v>1034</v>
      </c>
    </row>
    <row r="124" spans="2:3" x14ac:dyDescent="0.3">
      <c r="B124" s="176" t="s">
        <v>39</v>
      </c>
      <c r="C124" s="278" t="s">
        <v>1198</v>
      </c>
    </row>
    <row r="125" spans="2:3" x14ac:dyDescent="0.3">
      <c r="B125" s="154" t="s">
        <v>272</v>
      </c>
      <c r="C125" s="271" t="s">
        <v>1032</v>
      </c>
    </row>
    <row r="126" spans="2:3" x14ac:dyDescent="0.3">
      <c r="B126" s="186" t="s">
        <v>1123</v>
      </c>
      <c r="C126" s="268" t="s">
        <v>1124</v>
      </c>
    </row>
    <row r="127" spans="2:3" x14ac:dyDescent="0.3">
      <c r="B127" s="186" t="s">
        <v>1125</v>
      </c>
      <c r="C127" s="268" t="s">
        <v>1126</v>
      </c>
    </row>
    <row r="128" spans="2:3" x14ac:dyDescent="0.3">
      <c r="B128" s="186" t="s">
        <v>1127</v>
      </c>
      <c r="C128" s="268" t="s">
        <v>1128</v>
      </c>
    </row>
    <row r="129" spans="2:3" x14ac:dyDescent="0.3">
      <c r="B129" s="186" t="s">
        <v>249</v>
      </c>
      <c r="C129" s="268" t="s">
        <v>465</v>
      </c>
    </row>
    <row r="130" spans="2:3" ht="47.25" x14ac:dyDescent="0.3">
      <c r="B130" s="284" t="s">
        <v>996</v>
      </c>
      <c r="C130" s="283" t="s">
        <v>1044</v>
      </c>
    </row>
    <row r="132" spans="2:3" ht="15" customHeight="1" x14ac:dyDescent="0.3"/>
    <row r="135" spans="2:3" ht="32.450000000000003" customHeight="1" x14ac:dyDescent="0.3">
      <c r="B135" s="332" t="s">
        <v>1230</v>
      </c>
      <c r="C135" s="332"/>
    </row>
    <row r="136" spans="2:3" x14ac:dyDescent="0.3">
      <c r="B136" s="197" t="s">
        <v>4</v>
      </c>
      <c r="C136" s="198" t="s">
        <v>5</v>
      </c>
    </row>
    <row r="137" spans="2:3" x14ac:dyDescent="0.3">
      <c r="B137" s="182" t="s">
        <v>73</v>
      </c>
      <c r="C137" s="196" t="s">
        <v>74</v>
      </c>
    </row>
    <row r="138" spans="2:3" x14ac:dyDescent="0.3">
      <c r="B138" s="184" t="s">
        <v>116</v>
      </c>
      <c r="C138" s="196" t="s">
        <v>124</v>
      </c>
    </row>
    <row r="139" spans="2:3" x14ac:dyDescent="0.3">
      <c r="B139" s="184" t="s">
        <v>79</v>
      </c>
      <c r="C139" s="196" t="s">
        <v>1296</v>
      </c>
    </row>
    <row r="140" spans="2:3" x14ac:dyDescent="0.3">
      <c r="B140" s="184" t="s">
        <v>98</v>
      </c>
      <c r="C140" s="185" t="s">
        <v>910</v>
      </c>
    </row>
    <row r="141" spans="2:3" x14ac:dyDescent="0.3">
      <c r="B141" s="300" t="s">
        <v>1176</v>
      </c>
      <c r="C141" s="301" t="s">
        <v>1180</v>
      </c>
    </row>
    <row r="142" spans="2:3" x14ac:dyDescent="0.3">
      <c r="B142" s="300" t="s">
        <v>1177</v>
      </c>
      <c r="C142" s="301" t="s">
        <v>1182</v>
      </c>
    </row>
    <row r="143" spans="2:3" ht="15" customHeight="1" x14ac:dyDescent="0.3">
      <c r="B143" s="300" t="s">
        <v>1178</v>
      </c>
      <c r="C143" s="301" t="s">
        <v>1184</v>
      </c>
    </row>
    <row r="144" spans="2:3" ht="47.25" x14ac:dyDescent="0.3">
      <c r="B144" s="184" t="s">
        <v>109</v>
      </c>
      <c r="C144" s="302" t="s">
        <v>1179</v>
      </c>
    </row>
    <row r="145" spans="2:3" ht="47.25" x14ac:dyDescent="0.3">
      <c r="B145" s="184" t="s">
        <v>1175</v>
      </c>
      <c r="C145" s="302" t="s">
        <v>1181</v>
      </c>
    </row>
    <row r="146" spans="2:3" ht="47.25" x14ac:dyDescent="0.3">
      <c r="B146" s="184" t="s">
        <v>1174</v>
      </c>
      <c r="C146" s="302" t="s">
        <v>1183</v>
      </c>
    </row>
    <row r="147" spans="2:3" ht="63" x14ac:dyDescent="0.3">
      <c r="B147" s="256" t="s">
        <v>1008</v>
      </c>
      <c r="C147" s="257" t="s">
        <v>1009</v>
      </c>
    </row>
    <row r="148" spans="2:3" x14ac:dyDescent="0.3">
      <c r="B148" s="256" t="s">
        <v>230</v>
      </c>
      <c r="C148" s="257" t="s">
        <v>1025</v>
      </c>
    </row>
    <row r="149" spans="2:3" x14ac:dyDescent="0.3">
      <c r="B149" s="256" t="s">
        <v>1010</v>
      </c>
      <c r="C149" s="257" t="s">
        <v>1026</v>
      </c>
    </row>
    <row r="150" spans="2:3" x14ac:dyDescent="0.3">
      <c r="B150" s="258" t="s">
        <v>238</v>
      </c>
      <c r="C150" s="257" t="s">
        <v>1011</v>
      </c>
    </row>
    <row r="151" spans="2:3" x14ac:dyDescent="0.3">
      <c r="B151" s="258" t="s">
        <v>239</v>
      </c>
      <c r="C151" s="257" t="s">
        <v>1012</v>
      </c>
    </row>
    <row r="152" spans="2:3" x14ac:dyDescent="0.3">
      <c r="B152" s="259" t="s">
        <v>240</v>
      </c>
      <c r="C152" s="196" t="s">
        <v>231</v>
      </c>
    </row>
    <row r="153" spans="2:3" x14ac:dyDescent="0.3">
      <c r="B153" s="259" t="s">
        <v>241</v>
      </c>
      <c r="C153" s="196" t="s">
        <v>232</v>
      </c>
    </row>
    <row r="154" spans="2:3" x14ac:dyDescent="0.3">
      <c r="B154" s="259" t="s">
        <v>242</v>
      </c>
      <c r="C154" s="196" t="s">
        <v>233</v>
      </c>
    </row>
    <row r="155" spans="2:3" ht="47.25" x14ac:dyDescent="0.3">
      <c r="B155" s="184" t="s">
        <v>412</v>
      </c>
      <c r="C155" s="302" t="s">
        <v>1185</v>
      </c>
    </row>
    <row r="156" spans="2:3" ht="47.25" x14ac:dyDescent="0.3">
      <c r="B156" s="184" t="s">
        <v>413</v>
      </c>
      <c r="C156" s="302" t="s">
        <v>1186</v>
      </c>
    </row>
    <row r="157" spans="2:3" ht="47.25" x14ac:dyDescent="0.3">
      <c r="B157" s="184" t="s">
        <v>414</v>
      </c>
      <c r="C157" s="302" t="s">
        <v>1187</v>
      </c>
    </row>
    <row r="158" spans="2:3" ht="63" x14ac:dyDescent="0.3">
      <c r="B158" s="259" t="s">
        <v>243</v>
      </c>
      <c r="C158" s="196" t="s">
        <v>426</v>
      </c>
    </row>
    <row r="159" spans="2:3" ht="63" x14ac:dyDescent="0.3">
      <c r="B159" s="289" t="s">
        <v>411</v>
      </c>
      <c r="C159" s="290" t="s">
        <v>1039</v>
      </c>
    </row>
    <row r="160" spans="2:3" x14ac:dyDescent="0.3">
      <c r="B160" s="293" t="s">
        <v>1013</v>
      </c>
      <c r="C160" s="291" t="s">
        <v>1029</v>
      </c>
    </row>
    <row r="161" spans="2:3" x14ac:dyDescent="0.3">
      <c r="B161" s="293" t="s">
        <v>994</v>
      </c>
      <c r="C161" s="291" t="s">
        <v>1030</v>
      </c>
    </row>
    <row r="162" spans="2:3" ht="63" x14ac:dyDescent="0.3">
      <c r="B162" s="294" t="s">
        <v>1014</v>
      </c>
      <c r="C162" s="292" t="s">
        <v>1041</v>
      </c>
    </row>
    <row r="163" spans="2:3" x14ac:dyDescent="0.3">
      <c r="B163" s="260" t="s">
        <v>1015</v>
      </c>
      <c r="C163" s="241" t="s">
        <v>1052</v>
      </c>
    </row>
    <row r="164" spans="2:3" ht="15" customHeight="1" x14ac:dyDescent="0.3"/>
  </sheetData>
  <mergeCells count="12">
    <mergeCell ref="B135:C135"/>
    <mergeCell ref="B3:C3"/>
    <mergeCell ref="B23:C23"/>
    <mergeCell ref="B52:C52"/>
    <mergeCell ref="B42:C42"/>
    <mergeCell ref="B12:C12"/>
    <mergeCell ref="B34:C34"/>
    <mergeCell ref="B79:C79"/>
    <mergeCell ref="B89:C89"/>
    <mergeCell ref="B101:C101"/>
    <mergeCell ref="B113:C113"/>
    <mergeCell ref="B121:C12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16547-2682-48CA-BCAC-DC8A0C6E34B4}">
  <sheetPr>
    <tabColor rgb="FF92D050"/>
  </sheetPr>
  <dimension ref="C1:V37"/>
  <sheetViews>
    <sheetView zoomScale="85" zoomScaleNormal="85" workbookViewId="0">
      <selection activeCell="D22" sqref="D22"/>
    </sheetView>
  </sheetViews>
  <sheetFormatPr defaultColWidth="8.5703125" defaultRowHeight="15.75" x14ac:dyDescent="0.3"/>
  <cols>
    <col min="1" max="2" style="105" width="8.5703125" collapsed="true"/>
    <col min="3" max="3" customWidth="true" style="105" width="63.5703125" collapsed="true"/>
    <col min="4" max="4" customWidth="true" style="105" width="111.42578125" collapsed="true"/>
    <col min="5" max="5" customWidth="true" style="105" width="53.85546875" collapsed="true"/>
    <col min="6" max="6" customWidth="true" style="105" width="14.5703125" collapsed="true"/>
    <col min="7" max="7" customWidth="true" style="105" width="39.140625" collapsed="true"/>
    <col min="8" max="8" customWidth="true" style="105" width="86.140625" collapsed="true"/>
    <col min="9" max="9" customWidth="true" style="105" width="11.5703125" collapsed="true"/>
    <col min="10" max="10" customWidth="true" style="105" width="48.85546875" collapsed="true"/>
    <col min="11" max="11" customWidth="true" style="105" width="19.140625" collapsed="true"/>
    <col min="12" max="16384" style="105" width="8.5703125" collapsed="true"/>
  </cols>
  <sheetData>
    <row r="1" spans="3:22" ht="15.95" customHeight="1" x14ac:dyDescent="0.3">
      <c r="D1" s="165"/>
      <c r="E1" s="165"/>
      <c r="T1" s="201"/>
      <c r="U1" s="201"/>
      <c r="V1" s="201"/>
    </row>
    <row r="2" spans="3:22" ht="15.95" customHeight="1" x14ac:dyDescent="0.3">
      <c r="D2" s="165"/>
      <c r="E2" s="165"/>
      <c r="T2" s="201"/>
      <c r="U2" s="201"/>
      <c r="V2" s="201"/>
    </row>
    <row r="3" spans="3:22" x14ac:dyDescent="0.3">
      <c r="C3" s="336" t="s">
        <v>913</v>
      </c>
      <c r="D3" s="336"/>
      <c r="T3" s="201"/>
      <c r="U3" s="201"/>
      <c r="V3" s="201"/>
    </row>
    <row r="4" spans="3:22" x14ac:dyDescent="0.3">
      <c r="C4" s="202" t="s">
        <v>4</v>
      </c>
      <c r="D4" s="203" t="s">
        <v>5</v>
      </c>
      <c r="E4" s="165"/>
      <c r="T4" s="201"/>
      <c r="U4" s="201"/>
      <c r="V4" s="201"/>
    </row>
    <row r="5" spans="3:22" x14ac:dyDescent="0.3">
      <c r="C5" s="204" t="s">
        <v>3</v>
      </c>
      <c r="D5" s="183" t="s">
        <v>21</v>
      </c>
      <c r="E5" s="165"/>
      <c r="T5" s="201"/>
      <c r="U5" s="201"/>
      <c r="V5" s="201"/>
    </row>
    <row r="6" spans="3:22" x14ac:dyDescent="0.3">
      <c r="C6" s="105" t="s">
        <v>75</v>
      </c>
      <c r="D6" s="183" t="s">
        <v>76</v>
      </c>
      <c r="T6" s="201"/>
      <c r="U6" s="201"/>
      <c r="V6" s="201"/>
    </row>
    <row r="7" spans="3:22" x14ac:dyDescent="0.3">
      <c r="C7" s="105" t="s">
        <v>102</v>
      </c>
      <c r="D7" s="183" t="s">
        <v>90</v>
      </c>
      <c r="T7" s="201"/>
      <c r="U7" s="201"/>
      <c r="V7" s="201"/>
    </row>
    <row r="8" spans="3:22" x14ac:dyDescent="0.3">
      <c r="C8" s="105" t="s">
        <v>105</v>
      </c>
      <c r="D8" s="183" t="s">
        <v>106</v>
      </c>
      <c r="T8" s="201"/>
      <c r="U8" s="201"/>
      <c r="V8" s="201"/>
    </row>
    <row r="9" spans="3:22" x14ac:dyDescent="0.3">
      <c r="C9" s="105" t="s">
        <v>77</v>
      </c>
      <c r="D9" s="183" t="s">
        <v>245</v>
      </c>
      <c r="T9" s="201"/>
      <c r="U9" s="201"/>
      <c r="V9" s="201"/>
    </row>
    <row r="10" spans="3:22" x14ac:dyDescent="0.3">
      <c r="C10" s="105" t="s">
        <v>101</v>
      </c>
      <c r="D10" s="183" t="s">
        <v>246</v>
      </c>
      <c r="T10" s="201"/>
      <c r="U10" s="201"/>
      <c r="V10" s="201"/>
    </row>
    <row r="11" spans="3:22" x14ac:dyDescent="0.3">
      <c r="C11" s="215" t="s">
        <v>78</v>
      </c>
      <c r="D11" s="183" t="s">
        <v>103</v>
      </c>
      <c r="T11" s="201"/>
      <c r="U11" s="201"/>
      <c r="V11" s="201"/>
    </row>
    <row r="12" spans="3:22" x14ac:dyDescent="0.3">
      <c r="C12" s="215" t="s">
        <v>100</v>
      </c>
      <c r="D12" s="183" t="s">
        <v>104</v>
      </c>
      <c r="T12" s="201"/>
      <c r="U12" s="201"/>
      <c r="V12" s="201"/>
    </row>
    <row r="13" spans="3:22" x14ac:dyDescent="0.3">
      <c r="C13" s="215" t="s">
        <v>107</v>
      </c>
      <c r="D13" s="183" t="s">
        <v>108</v>
      </c>
      <c r="T13" s="201"/>
      <c r="U13" s="201"/>
      <c r="V13" s="201"/>
    </row>
    <row r="14" spans="3:22" x14ac:dyDescent="0.3">
      <c r="C14" s="195" t="s">
        <v>111</v>
      </c>
      <c r="D14" s="205" t="s">
        <v>110</v>
      </c>
      <c r="T14" s="201"/>
      <c r="U14" s="201"/>
      <c r="V14" s="201"/>
    </row>
    <row r="15" spans="3:22" x14ac:dyDescent="0.3">
      <c r="T15" s="201"/>
      <c r="U15" s="201"/>
      <c r="V15" s="201"/>
    </row>
    <row r="16" spans="3:22" x14ac:dyDescent="0.3">
      <c r="T16" s="206"/>
      <c r="U16" s="206"/>
      <c r="V16" s="206"/>
    </row>
    <row r="17" spans="3:22" x14ac:dyDescent="0.3">
      <c r="T17" s="201"/>
      <c r="U17" s="201"/>
      <c r="V17" s="201"/>
    </row>
    <row r="18" spans="3:22" x14ac:dyDescent="0.3">
      <c r="D18" s="165"/>
    </row>
    <row r="19" spans="3:22" x14ac:dyDescent="0.3">
      <c r="C19" s="322" t="s">
        <v>914</v>
      </c>
      <c r="D19" s="322"/>
    </row>
    <row r="20" spans="3:22" x14ac:dyDescent="0.3">
      <c r="C20" s="180" t="s">
        <v>112</v>
      </c>
      <c r="D20" s="181" t="s">
        <v>143</v>
      </c>
    </row>
    <row r="21" spans="3:22" x14ac:dyDescent="0.3">
      <c r="C21" s="208" t="s">
        <v>602</v>
      </c>
      <c r="D21" s="183" t="s">
        <v>144</v>
      </c>
    </row>
    <row r="22" spans="3:22" x14ac:dyDescent="0.3">
      <c r="C22" s="209" t="s">
        <v>603</v>
      </c>
      <c r="D22" s="205" t="s">
        <v>117</v>
      </c>
    </row>
    <row r="23" spans="3:22" x14ac:dyDescent="0.3">
      <c r="D23" s="165"/>
    </row>
    <row r="24" spans="3:22" x14ac:dyDescent="0.3">
      <c r="D24" s="165"/>
    </row>
    <row r="25" spans="3:22" x14ac:dyDescent="0.3">
      <c r="D25" s="165"/>
    </row>
    <row r="26" spans="3:22" x14ac:dyDescent="0.3">
      <c r="C26" s="333" t="s">
        <v>915</v>
      </c>
      <c r="D26" s="333"/>
    </row>
    <row r="27" spans="3:22" x14ac:dyDescent="0.3">
      <c r="C27" s="180" t="s">
        <v>421</v>
      </c>
      <c r="D27" s="181" t="s">
        <v>99</v>
      </c>
    </row>
    <row r="28" spans="3:22" x14ac:dyDescent="0.3">
      <c r="C28" s="207" t="s">
        <v>142</v>
      </c>
      <c r="D28" s="210">
        <v>23</v>
      </c>
    </row>
    <row r="29" spans="3:22" x14ac:dyDescent="0.3">
      <c r="C29" s="207" t="s">
        <v>125</v>
      </c>
      <c r="D29" s="211">
        <v>28</v>
      </c>
    </row>
    <row r="30" spans="3:22" x14ac:dyDescent="0.3">
      <c r="C30" s="207" t="s">
        <v>126</v>
      </c>
      <c r="D30" s="211">
        <v>33</v>
      </c>
    </row>
    <row r="31" spans="3:22" x14ac:dyDescent="0.3">
      <c r="C31" s="207" t="s">
        <v>127</v>
      </c>
      <c r="D31" s="211">
        <v>38</v>
      </c>
    </row>
    <row r="32" spans="3:22" x14ac:dyDescent="0.3">
      <c r="C32" s="207" t="s">
        <v>128</v>
      </c>
      <c r="D32" s="211">
        <v>43</v>
      </c>
    </row>
    <row r="33" spans="3:5" x14ac:dyDescent="0.3">
      <c r="C33" s="207" t="s">
        <v>129</v>
      </c>
      <c r="D33" s="211">
        <v>48</v>
      </c>
    </row>
    <row r="34" spans="3:5" x14ac:dyDescent="0.3">
      <c r="C34" s="207" t="s">
        <v>130</v>
      </c>
      <c r="D34" s="211">
        <v>53</v>
      </c>
      <c r="E34" s="212"/>
    </row>
    <row r="35" spans="3:5" x14ac:dyDescent="0.3">
      <c r="C35" s="207" t="s">
        <v>131</v>
      </c>
      <c r="D35" s="211">
        <v>58</v>
      </c>
      <c r="E35" s="165"/>
    </row>
    <row r="36" spans="3:5" x14ac:dyDescent="0.3">
      <c r="C36" s="207" t="s">
        <v>1054</v>
      </c>
      <c r="D36" s="211">
        <v>64</v>
      </c>
      <c r="E36" s="165"/>
    </row>
    <row r="37" spans="3:5" x14ac:dyDescent="0.3">
      <c r="C37" s="213" t="s">
        <v>1056</v>
      </c>
      <c r="D37" s="214">
        <v>69</v>
      </c>
      <c r="E37" s="165"/>
    </row>
  </sheetData>
  <mergeCells count="3">
    <mergeCell ref="C19:D19"/>
    <mergeCell ref="C26:D26"/>
    <mergeCell ref="C3:D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96E3-C31A-4409-9E50-F426C232042F}">
  <sheetPr>
    <tabColor rgb="FF92D050"/>
  </sheetPr>
  <dimension ref="B2:C4"/>
  <sheetViews>
    <sheetView workbookViewId="0">
      <selection activeCell="E13" sqref="E13"/>
    </sheetView>
  </sheetViews>
  <sheetFormatPr defaultColWidth="8.85546875" defaultRowHeight="12.75" x14ac:dyDescent="0.2"/>
  <cols>
    <col min="1" max="1" style="1" width="8.85546875" collapsed="true"/>
    <col min="2" max="2" customWidth="true" style="1" width="16.42578125" collapsed="true"/>
    <col min="3" max="3" customWidth="true" style="1" width="38.42578125" collapsed="true"/>
    <col min="4" max="16384" style="1" width="8.85546875" collapsed="true"/>
  </cols>
  <sheetData>
    <row r="2" spans="2:3" x14ac:dyDescent="0.2">
      <c r="B2" s="337" t="s">
        <v>29</v>
      </c>
      <c r="C2" s="337"/>
    </row>
    <row r="3" spans="2:3" x14ac:dyDescent="0.2">
      <c r="B3" s="338" t="s">
        <v>28</v>
      </c>
      <c r="C3" s="2" t="s">
        <v>68</v>
      </c>
    </row>
    <row r="4" spans="2:3" x14ac:dyDescent="0.2">
      <c r="B4" s="339"/>
      <c r="C4" s="3" t="s">
        <v>645</v>
      </c>
    </row>
  </sheetData>
  <mergeCells count="2">
    <mergeCell ref="B2:C2"/>
    <mergeCell ref="B3:B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31AC-F01D-482C-8D3F-4893023E978A}">
  <sheetPr>
    <tabColor rgb="FF7030A0"/>
  </sheetPr>
  <dimension ref="B3:N434"/>
  <sheetViews>
    <sheetView topLeftCell="A188" zoomScaleNormal="100" workbookViewId="0">
      <selection activeCell="C218" sqref="C218"/>
    </sheetView>
  </sheetViews>
  <sheetFormatPr defaultColWidth="8.85546875" defaultRowHeight="15.75" x14ac:dyDescent="0.3"/>
  <cols>
    <col min="1" max="1" style="4" width="8.85546875" collapsed="true"/>
    <col min="2" max="2" customWidth="true" style="4" width="41.5703125" collapsed="true"/>
    <col min="3" max="3" customWidth="true" style="4" width="110.85546875" collapsed="true"/>
    <col min="4" max="4" bestFit="true" customWidth="true" style="4" width="19.140625" collapsed="true"/>
    <col min="5" max="5" bestFit="true" customWidth="true" style="4" width="30.140625" collapsed="true"/>
    <col min="6" max="6" customWidth="true" style="4" width="29.42578125" collapsed="true"/>
    <col min="7" max="7" customWidth="true" style="4" width="73.85546875" collapsed="true"/>
    <col min="8" max="8" customWidth="true" style="4" width="16.5703125" collapsed="true"/>
    <col min="9" max="9" customWidth="true" style="4" width="34.85546875" collapsed="true"/>
    <col min="10" max="16384" style="4" width="8.85546875" collapsed="true"/>
  </cols>
  <sheetData>
    <row r="3" spans="2:3" ht="36.6" customHeight="1" x14ac:dyDescent="0.3">
      <c r="B3" s="344" t="s">
        <v>1282</v>
      </c>
      <c r="C3" s="344"/>
    </row>
    <row r="4" spans="2:3" x14ac:dyDescent="0.3">
      <c r="B4" s="217" t="s">
        <v>30</v>
      </c>
      <c r="C4" s="218" t="s">
        <v>5</v>
      </c>
    </row>
    <row r="5" spans="2:3" x14ac:dyDescent="0.3">
      <c r="B5" s="219" t="s">
        <v>484</v>
      </c>
      <c r="C5" s="220" t="s">
        <v>742</v>
      </c>
    </row>
    <row r="6" spans="2:3" x14ac:dyDescent="0.3">
      <c r="B6" s="221" t="s">
        <v>485</v>
      </c>
      <c r="C6" s="222" t="s">
        <v>1283</v>
      </c>
    </row>
    <row r="7" spans="2:3" customFormat="1" ht="15" x14ac:dyDescent="0.25"/>
    <row r="8" spans="2:3" customFormat="1" ht="15" x14ac:dyDescent="0.25"/>
    <row r="9" spans="2:3" customFormat="1" ht="15" x14ac:dyDescent="0.25"/>
    <row r="10" spans="2:3" customFormat="1" ht="15" x14ac:dyDescent="0.25"/>
    <row r="11" spans="2:3" ht="15" customHeight="1" x14ac:dyDescent="0.3">
      <c r="B11" s="344" t="s">
        <v>917</v>
      </c>
      <c r="C11" s="344"/>
    </row>
    <row r="12" spans="2:3" x14ac:dyDescent="0.3">
      <c r="B12" s="217" t="s">
        <v>30</v>
      </c>
      <c r="C12" s="218" t="s">
        <v>5</v>
      </c>
    </row>
    <row r="13" spans="2:3" x14ac:dyDescent="0.3">
      <c r="B13" s="5" t="s">
        <v>486</v>
      </c>
      <c r="C13" s="6" t="s">
        <v>812</v>
      </c>
    </row>
    <row r="14" spans="2:3" x14ac:dyDescent="0.3">
      <c r="B14" s="5" t="s">
        <v>487</v>
      </c>
      <c r="C14" s="6" t="s">
        <v>804</v>
      </c>
    </row>
    <row r="15" spans="2:3" x14ac:dyDescent="0.3">
      <c r="B15" s="5" t="s">
        <v>488</v>
      </c>
      <c r="C15" s="6" t="s">
        <v>805</v>
      </c>
    </row>
    <row r="16" spans="2:3" x14ac:dyDescent="0.3">
      <c r="B16" s="5" t="s">
        <v>489</v>
      </c>
      <c r="C16" s="6" t="s">
        <v>806</v>
      </c>
    </row>
    <row r="17" spans="2:5" x14ac:dyDescent="0.3">
      <c r="B17" s="5" t="s">
        <v>490</v>
      </c>
      <c r="C17" s="6" t="s">
        <v>807</v>
      </c>
    </row>
    <row r="18" spans="2:5" x14ac:dyDescent="0.3">
      <c r="B18" s="5" t="s">
        <v>491</v>
      </c>
      <c r="C18" s="6" t="s">
        <v>811</v>
      </c>
    </row>
    <row r="19" spans="2:5" x14ac:dyDescent="0.3">
      <c r="B19" s="5" t="s">
        <v>148</v>
      </c>
      <c r="C19" s="6" t="s">
        <v>740</v>
      </c>
      <c r="E19" s="9"/>
    </row>
    <row r="20" spans="2:5" x14ac:dyDescent="0.3">
      <c r="B20" s="7" t="s">
        <v>147</v>
      </c>
      <c r="C20" s="8" t="s">
        <v>741</v>
      </c>
      <c r="E20" s="9"/>
    </row>
    <row r="25" spans="2:5" ht="31.7" customHeight="1" x14ac:dyDescent="0.3">
      <c r="B25" s="341" t="s">
        <v>1284</v>
      </c>
      <c r="C25" s="341" t="s">
        <v>1167</v>
      </c>
    </row>
    <row r="26" spans="2:5" x14ac:dyDescent="0.3">
      <c r="B26" s="217" t="s">
        <v>30</v>
      </c>
      <c r="C26" s="218" t="s">
        <v>5</v>
      </c>
    </row>
    <row r="27" spans="2:5" ht="63" x14ac:dyDescent="0.3">
      <c r="B27" s="299" t="s">
        <v>1168</v>
      </c>
      <c r="C27" s="299" t="s">
        <v>1302</v>
      </c>
    </row>
    <row r="28" spans="2:5" x14ac:dyDescent="0.3">
      <c r="B28" s="200" t="s">
        <v>1163</v>
      </c>
      <c r="C28" s="200" t="s">
        <v>1285</v>
      </c>
    </row>
    <row r="29" spans="2:5" ht="31.5" x14ac:dyDescent="0.3">
      <c r="B29" s="200" t="s">
        <v>658</v>
      </c>
      <c r="C29" s="200" t="s">
        <v>1170</v>
      </c>
    </row>
    <row r="30" spans="2:5" x14ac:dyDescent="0.3">
      <c r="B30" s="5" t="s">
        <v>274</v>
      </c>
      <c r="C30" s="6" t="s">
        <v>743</v>
      </c>
    </row>
    <row r="31" spans="2:5" x14ac:dyDescent="0.3">
      <c r="B31" s="5" t="s">
        <v>275</v>
      </c>
      <c r="C31" s="6" t="s">
        <v>744</v>
      </c>
    </row>
    <row r="32" spans="2:5" x14ac:dyDescent="0.3">
      <c r="B32" s="5" t="s">
        <v>492</v>
      </c>
      <c r="C32" s="6" t="s">
        <v>816</v>
      </c>
    </row>
    <row r="33" spans="2:3" x14ac:dyDescent="0.3">
      <c r="B33" s="4" t="s">
        <v>813</v>
      </c>
      <c r="C33" s="6" t="s">
        <v>746</v>
      </c>
    </row>
    <row r="34" spans="2:3" x14ac:dyDescent="0.3">
      <c r="B34" s="4" t="s">
        <v>778</v>
      </c>
      <c r="C34" s="6" t="s">
        <v>814</v>
      </c>
    </row>
    <row r="35" spans="2:3" x14ac:dyDescent="0.3">
      <c r="B35" s="5" t="s">
        <v>493</v>
      </c>
      <c r="C35" s="6" t="s">
        <v>495</v>
      </c>
    </row>
    <row r="36" spans="2:3" x14ac:dyDescent="0.3">
      <c r="B36" s="4" t="s">
        <v>592</v>
      </c>
      <c r="C36" s="6" t="s">
        <v>745</v>
      </c>
    </row>
    <row r="37" spans="2:3" x14ac:dyDescent="0.3">
      <c r="B37" s="4" t="s">
        <v>494</v>
      </c>
      <c r="C37" s="6" t="s">
        <v>596</v>
      </c>
    </row>
    <row r="38" spans="2:3" x14ac:dyDescent="0.3">
      <c r="B38" s="4" t="s">
        <v>869</v>
      </c>
      <c r="C38" s="6" t="s">
        <v>865</v>
      </c>
    </row>
    <row r="39" spans="2:3" x14ac:dyDescent="0.3">
      <c r="B39" s="4" t="s">
        <v>75</v>
      </c>
      <c r="C39" s="6" t="s">
        <v>870</v>
      </c>
    </row>
    <row r="40" spans="2:3" x14ac:dyDescent="0.3">
      <c r="B40" s="4" t="s">
        <v>962</v>
      </c>
      <c r="C40" s="6" t="s">
        <v>963</v>
      </c>
    </row>
    <row r="41" spans="2:3" x14ac:dyDescent="0.3">
      <c r="B41" s="4" t="s">
        <v>1268</v>
      </c>
      <c r="C41" s="6" t="s">
        <v>1269</v>
      </c>
    </row>
    <row r="42" spans="2:3" x14ac:dyDescent="0.3">
      <c r="B42" s="4" t="s">
        <v>961</v>
      </c>
      <c r="C42" s="6" t="s">
        <v>1270</v>
      </c>
    </row>
    <row r="43" spans="2:3" x14ac:dyDescent="0.3">
      <c r="B43" s="4" t="s">
        <v>817</v>
      </c>
      <c r="C43" s="6" t="s">
        <v>1164</v>
      </c>
    </row>
    <row r="44" spans="2:3" x14ac:dyDescent="0.3">
      <c r="B44" s="5" t="s">
        <v>600</v>
      </c>
      <c r="C44" s="6" t="s">
        <v>897</v>
      </c>
    </row>
    <row r="45" spans="2:3" x14ac:dyDescent="0.3">
      <c r="B45" s="5" t="s">
        <v>803</v>
      </c>
      <c r="C45" s="6" t="s">
        <v>1165</v>
      </c>
    </row>
    <row r="46" spans="2:3" x14ac:dyDescent="0.3">
      <c r="B46" s="4" t="s">
        <v>819</v>
      </c>
      <c r="C46" s="6" t="s">
        <v>1166</v>
      </c>
    </row>
    <row r="47" spans="2:3" x14ac:dyDescent="0.3">
      <c r="B47" s="5" t="s">
        <v>802</v>
      </c>
      <c r="C47" s="6" t="s">
        <v>824</v>
      </c>
    </row>
    <row r="48" spans="2:3" x14ac:dyDescent="0.3">
      <c r="B48" s="4" t="s">
        <v>706</v>
      </c>
      <c r="C48" s="4" t="s">
        <v>705</v>
      </c>
    </row>
    <row r="49" spans="2:3" x14ac:dyDescent="0.3">
      <c r="B49" s="5" t="s">
        <v>801</v>
      </c>
      <c r="C49" s="6" t="s">
        <v>1286</v>
      </c>
    </row>
    <row r="50" spans="2:3" x14ac:dyDescent="0.3">
      <c r="B50" s="285" t="s">
        <v>1236</v>
      </c>
      <c r="C50" s="286" t="s">
        <v>1131</v>
      </c>
    </row>
    <row r="51" spans="2:3" x14ac:dyDescent="0.3">
      <c r="B51" s="232" t="s">
        <v>734</v>
      </c>
      <c r="C51" s="232" t="s">
        <v>1234</v>
      </c>
    </row>
    <row r="52" spans="2:3" x14ac:dyDescent="0.3">
      <c r="B52" s="6" t="s">
        <v>800</v>
      </c>
      <c r="C52" s="6" t="s">
        <v>1235</v>
      </c>
    </row>
    <row r="53" spans="2:3" x14ac:dyDescent="0.3">
      <c r="B53" s="232" t="s">
        <v>825</v>
      </c>
      <c r="C53" s="232" t="s">
        <v>1256</v>
      </c>
    </row>
    <row r="54" spans="2:3" x14ac:dyDescent="0.3">
      <c r="B54" s="6" t="s">
        <v>827</v>
      </c>
      <c r="C54" s="6" t="s">
        <v>828</v>
      </c>
    </row>
    <row r="55" spans="2:3" x14ac:dyDescent="0.3">
      <c r="B55" s="5" t="s">
        <v>826</v>
      </c>
      <c r="C55" s="286" t="s">
        <v>1250</v>
      </c>
    </row>
    <row r="56" spans="2:3" x14ac:dyDescent="0.3">
      <c r="B56" s="6" t="s">
        <v>829</v>
      </c>
      <c r="C56" s="6" t="s">
        <v>831</v>
      </c>
    </row>
    <row r="57" spans="2:3" x14ac:dyDescent="0.3">
      <c r="B57" s="5" t="s">
        <v>833</v>
      </c>
      <c r="C57" s="286" t="s">
        <v>1251</v>
      </c>
    </row>
    <row r="58" spans="2:3" x14ac:dyDescent="0.3">
      <c r="B58" s="6" t="s">
        <v>830</v>
      </c>
      <c r="C58" s="286" t="s">
        <v>832</v>
      </c>
    </row>
    <row r="59" spans="2:3" x14ac:dyDescent="0.3">
      <c r="B59" s="5" t="s">
        <v>834</v>
      </c>
      <c r="C59" s="6" t="s">
        <v>837</v>
      </c>
    </row>
    <row r="60" spans="2:3" x14ac:dyDescent="0.3">
      <c r="B60" s="233" t="s">
        <v>949</v>
      </c>
      <c r="C60" s="232" t="s">
        <v>1238</v>
      </c>
    </row>
    <row r="61" spans="2:3" x14ac:dyDescent="0.3">
      <c r="B61" s="233" t="s">
        <v>950</v>
      </c>
      <c r="C61" s="232" t="s">
        <v>1257</v>
      </c>
    </row>
    <row r="62" spans="2:3" x14ac:dyDescent="0.3">
      <c r="B62" s="6" t="s">
        <v>955</v>
      </c>
      <c r="C62" s="6" t="s">
        <v>951</v>
      </c>
    </row>
    <row r="63" spans="2:3" x14ac:dyDescent="0.3">
      <c r="B63" s="5" t="s">
        <v>938</v>
      </c>
      <c r="C63" s="286" t="s">
        <v>1252</v>
      </c>
    </row>
    <row r="64" spans="2:3" x14ac:dyDescent="0.3">
      <c r="B64" s="6" t="s">
        <v>956</v>
      </c>
      <c r="C64" s="6" t="s">
        <v>952</v>
      </c>
    </row>
    <row r="65" spans="2:3" x14ac:dyDescent="0.3">
      <c r="B65" s="5" t="s">
        <v>939</v>
      </c>
      <c r="C65" s="286" t="s">
        <v>1254</v>
      </c>
    </row>
    <row r="66" spans="2:3" x14ac:dyDescent="0.3">
      <c r="B66" s="233" t="s">
        <v>953</v>
      </c>
      <c r="C66" s="287" t="s">
        <v>1237</v>
      </c>
    </row>
    <row r="67" spans="2:3" x14ac:dyDescent="0.3">
      <c r="B67" s="233" t="s">
        <v>954</v>
      </c>
      <c r="C67" s="232" t="s">
        <v>1258</v>
      </c>
    </row>
    <row r="68" spans="2:3" x14ac:dyDescent="0.3">
      <c r="B68" s="6" t="s">
        <v>957</v>
      </c>
      <c r="C68" s="6" t="s">
        <v>959</v>
      </c>
    </row>
    <row r="69" spans="2:3" x14ac:dyDescent="0.3">
      <c r="B69" s="5" t="s">
        <v>940</v>
      </c>
      <c r="C69" s="286" t="s">
        <v>1253</v>
      </c>
    </row>
    <row r="70" spans="2:3" x14ac:dyDescent="0.3">
      <c r="B70" s="6" t="s">
        <v>958</v>
      </c>
      <c r="C70" s="6" t="s">
        <v>960</v>
      </c>
    </row>
    <row r="71" spans="2:3" x14ac:dyDescent="0.3">
      <c r="B71" s="5" t="s">
        <v>941</v>
      </c>
      <c r="C71" s="286" t="s">
        <v>1255</v>
      </c>
    </row>
    <row r="72" spans="2:3" x14ac:dyDescent="0.3">
      <c r="B72" s="5" t="s">
        <v>966</v>
      </c>
      <c r="C72" s="6" t="s">
        <v>964</v>
      </c>
    </row>
    <row r="73" spans="2:3" x14ac:dyDescent="0.3">
      <c r="B73" s="5" t="s">
        <v>967</v>
      </c>
      <c r="C73" s="6" t="s">
        <v>970</v>
      </c>
    </row>
    <row r="74" spans="2:3" x14ac:dyDescent="0.3">
      <c r="B74" s="5" t="s">
        <v>968</v>
      </c>
      <c r="C74" s="6" t="s">
        <v>965</v>
      </c>
    </row>
    <row r="75" spans="2:3" x14ac:dyDescent="0.3">
      <c r="B75" s="5" t="s">
        <v>969</v>
      </c>
      <c r="C75" s="305" t="s">
        <v>971</v>
      </c>
    </row>
    <row r="76" spans="2:3" x14ac:dyDescent="0.3">
      <c r="B76" s="7" t="s">
        <v>1093</v>
      </c>
      <c r="C76" s="279" t="s">
        <v>1092</v>
      </c>
    </row>
    <row r="80" spans="2:3" x14ac:dyDescent="0.3">
      <c r="B80" s="354" t="s">
        <v>918</v>
      </c>
      <c r="C80" s="354"/>
    </row>
    <row r="81" spans="2:3" x14ac:dyDescent="0.3">
      <c r="B81" s="217" t="s">
        <v>116</v>
      </c>
      <c r="C81" s="218" t="s">
        <v>2</v>
      </c>
    </row>
    <row r="82" spans="2:3" x14ac:dyDescent="0.3">
      <c r="B82" s="13" t="s">
        <v>604</v>
      </c>
      <c r="C82" s="350" t="s">
        <v>113</v>
      </c>
    </row>
    <row r="83" spans="2:3" x14ac:dyDescent="0.3">
      <c r="B83" s="4" t="s">
        <v>605</v>
      </c>
      <c r="C83" s="346"/>
    </row>
    <row r="84" spans="2:3" x14ac:dyDescent="0.3">
      <c r="B84" s="4" t="s">
        <v>606</v>
      </c>
      <c r="C84" s="348" t="s">
        <v>114</v>
      </c>
    </row>
    <row r="85" spans="2:3" x14ac:dyDescent="0.3">
      <c r="B85" s="4" t="s">
        <v>607</v>
      </c>
      <c r="C85" s="346"/>
    </row>
    <row r="86" spans="2:3" x14ac:dyDescent="0.3">
      <c r="B86" s="14" t="s">
        <v>422</v>
      </c>
      <c r="C86" s="15" t="s">
        <v>465</v>
      </c>
    </row>
    <row r="91" spans="2:3" x14ac:dyDescent="0.3">
      <c r="B91" s="344" t="s">
        <v>1231</v>
      </c>
      <c r="C91" s="344"/>
    </row>
    <row r="92" spans="2:3" x14ac:dyDescent="0.3">
      <c r="B92" s="217" t="s">
        <v>30</v>
      </c>
      <c r="C92" s="218" t="s">
        <v>5</v>
      </c>
    </row>
    <row r="93" spans="2:3" x14ac:dyDescent="0.3">
      <c r="B93" s="4" t="s">
        <v>113</v>
      </c>
      <c r="C93" s="6" t="s">
        <v>586</v>
      </c>
    </row>
    <row r="94" spans="2:3" x14ac:dyDescent="0.3">
      <c r="B94" s="4" t="s">
        <v>114</v>
      </c>
      <c r="C94" s="6" t="s">
        <v>587</v>
      </c>
    </row>
    <row r="95" spans="2:3" x14ac:dyDescent="0.3">
      <c r="B95" s="4" t="s">
        <v>624</v>
      </c>
      <c r="C95" s="6" t="s">
        <v>625</v>
      </c>
    </row>
    <row r="96" spans="2:3" x14ac:dyDescent="0.3">
      <c r="B96" s="4" t="s">
        <v>757</v>
      </c>
      <c r="C96" s="6" t="s">
        <v>758</v>
      </c>
    </row>
    <row r="97" spans="2:3" x14ac:dyDescent="0.3">
      <c r="B97" s="4" t="s">
        <v>759</v>
      </c>
      <c r="C97" s="6" t="s">
        <v>1154</v>
      </c>
    </row>
    <row r="98" spans="2:3" x14ac:dyDescent="0.3">
      <c r="B98" s="4" t="s">
        <v>588</v>
      </c>
      <c r="C98" s="6" t="s">
        <v>590</v>
      </c>
    </row>
    <row r="99" spans="2:3" x14ac:dyDescent="0.3">
      <c r="B99" s="4" t="s">
        <v>75</v>
      </c>
      <c r="C99" s="6" t="s">
        <v>866</v>
      </c>
    </row>
    <row r="100" spans="2:3" x14ac:dyDescent="0.3">
      <c r="B100" s="355" t="s">
        <v>597</v>
      </c>
      <c r="C100" s="356"/>
    </row>
    <row r="101" spans="2:3" x14ac:dyDescent="0.3">
      <c r="B101" s="226" t="s">
        <v>838</v>
      </c>
      <c r="C101" s="225" t="s">
        <v>657</v>
      </c>
    </row>
    <row r="102" spans="2:3" x14ac:dyDescent="0.3">
      <c r="B102" s="226" t="s">
        <v>839</v>
      </c>
      <c r="C102" s="225" t="s">
        <v>867</v>
      </c>
    </row>
    <row r="103" spans="2:3" x14ac:dyDescent="0.3">
      <c r="B103" s="226" t="s">
        <v>840</v>
      </c>
      <c r="C103" s="225" t="s">
        <v>868</v>
      </c>
    </row>
    <row r="104" spans="2:3" x14ac:dyDescent="0.3">
      <c r="B104" s="226" t="s">
        <v>841</v>
      </c>
      <c r="C104" s="6" t="s">
        <v>761</v>
      </c>
    </row>
    <row r="105" spans="2:3" x14ac:dyDescent="0.3">
      <c r="B105" s="226" t="s">
        <v>842</v>
      </c>
      <c r="C105" s="6" t="s">
        <v>762</v>
      </c>
    </row>
    <row r="106" spans="2:3" x14ac:dyDescent="0.3">
      <c r="B106" s="226" t="s">
        <v>843</v>
      </c>
      <c r="C106" s="6" t="s">
        <v>763</v>
      </c>
    </row>
    <row r="107" spans="2:3" x14ac:dyDescent="0.3">
      <c r="B107" s="355" t="s">
        <v>598</v>
      </c>
      <c r="C107" s="356"/>
    </row>
    <row r="108" spans="2:3" x14ac:dyDescent="0.3">
      <c r="B108" s="226" t="s">
        <v>844</v>
      </c>
      <c r="C108" s="225" t="s">
        <v>657</v>
      </c>
    </row>
    <row r="109" spans="2:3" x14ac:dyDescent="0.3">
      <c r="B109" s="226" t="s">
        <v>845</v>
      </c>
      <c r="C109" s="6" t="s">
        <v>867</v>
      </c>
    </row>
    <row r="110" spans="2:3" x14ac:dyDescent="0.3">
      <c r="B110" s="226" t="s">
        <v>846</v>
      </c>
      <c r="C110" s="6" t="s">
        <v>868</v>
      </c>
    </row>
    <row r="111" spans="2:3" x14ac:dyDescent="0.3">
      <c r="B111" s="226" t="s">
        <v>847</v>
      </c>
      <c r="C111" s="6" t="s">
        <v>764</v>
      </c>
    </row>
    <row r="112" spans="2:3" x14ac:dyDescent="0.3">
      <c r="B112" s="226" t="s">
        <v>848</v>
      </c>
      <c r="C112" s="6" t="s">
        <v>765</v>
      </c>
    </row>
    <row r="113" spans="2:3" x14ac:dyDescent="0.3">
      <c r="B113" s="226" t="s">
        <v>849</v>
      </c>
      <c r="C113" s="6" t="s">
        <v>766</v>
      </c>
    </row>
    <row r="114" spans="2:3" x14ac:dyDescent="0.3">
      <c r="B114" s="355" t="s">
        <v>599</v>
      </c>
      <c r="C114" s="357"/>
    </row>
    <row r="115" spans="2:3" ht="78.75" x14ac:dyDescent="0.3">
      <c r="B115" s="11" t="s">
        <v>600</v>
      </c>
      <c r="C115" s="228" t="s">
        <v>1162</v>
      </c>
    </row>
    <row r="120" spans="2:3" x14ac:dyDescent="0.3">
      <c r="B120" s="344" t="s">
        <v>919</v>
      </c>
      <c r="C120" s="344"/>
    </row>
    <row r="121" spans="2:3" x14ac:dyDescent="0.3">
      <c r="B121" s="217" t="s">
        <v>30</v>
      </c>
      <c r="C121" s="218" t="s">
        <v>5</v>
      </c>
    </row>
    <row r="122" spans="2:3" x14ac:dyDescent="0.3">
      <c r="B122" s="16" t="s">
        <v>626</v>
      </c>
      <c r="C122" s="229" t="s">
        <v>1172</v>
      </c>
    </row>
    <row r="123" spans="2:3" x14ac:dyDescent="0.3">
      <c r="B123" s="4" t="s">
        <v>627</v>
      </c>
      <c r="C123" s="6" t="s">
        <v>1171</v>
      </c>
    </row>
    <row r="124" spans="2:3" x14ac:dyDescent="0.3">
      <c r="B124" s="4" t="s">
        <v>622</v>
      </c>
      <c r="C124" s="6" t="s">
        <v>630</v>
      </c>
    </row>
    <row r="125" spans="2:3" x14ac:dyDescent="0.3">
      <c r="B125" s="4" t="s">
        <v>623</v>
      </c>
      <c r="C125" s="6" t="s">
        <v>633</v>
      </c>
    </row>
    <row r="126" spans="2:3" x14ac:dyDescent="0.3">
      <c r="B126" s="4" t="s">
        <v>152</v>
      </c>
      <c r="C126" s="6" t="s">
        <v>632</v>
      </c>
    </row>
    <row r="127" spans="2:3" ht="31.5" x14ac:dyDescent="0.3">
      <c r="B127" s="14" t="s">
        <v>631</v>
      </c>
      <c r="C127" s="10" t="s">
        <v>634</v>
      </c>
    </row>
    <row r="132" spans="2:3" x14ac:dyDescent="0.3">
      <c r="B132" s="344" t="s">
        <v>920</v>
      </c>
      <c r="C132" s="344"/>
    </row>
    <row r="133" spans="2:3" x14ac:dyDescent="0.3">
      <c r="B133" s="217" t="s">
        <v>30</v>
      </c>
      <c r="C133" s="218" t="s">
        <v>5</v>
      </c>
    </row>
    <row r="134" spans="2:3" x14ac:dyDescent="0.3">
      <c r="B134" s="16" t="s">
        <v>626</v>
      </c>
      <c r="C134" s="229" t="s">
        <v>628</v>
      </c>
    </row>
    <row r="135" spans="2:3" x14ac:dyDescent="0.3">
      <c r="B135" s="4" t="s">
        <v>627</v>
      </c>
      <c r="C135" s="6" t="s">
        <v>629</v>
      </c>
    </row>
    <row r="136" spans="2:3" ht="39.6" customHeight="1" x14ac:dyDescent="0.3">
      <c r="B136" s="4" t="s">
        <v>635</v>
      </c>
      <c r="C136" s="12" t="s">
        <v>646</v>
      </c>
    </row>
    <row r="137" spans="2:3" ht="31.5" x14ac:dyDescent="0.3">
      <c r="B137" s="4" t="s">
        <v>636</v>
      </c>
      <c r="C137" s="12" t="s">
        <v>647</v>
      </c>
    </row>
    <row r="138" spans="2:3" x14ac:dyDescent="0.3">
      <c r="B138" s="4" t="s">
        <v>637</v>
      </c>
      <c r="C138" s="6" t="s">
        <v>638</v>
      </c>
    </row>
    <row r="139" spans="2:3" x14ac:dyDescent="0.3">
      <c r="B139" s="4" t="s">
        <v>639</v>
      </c>
      <c r="C139" s="6" t="s">
        <v>640</v>
      </c>
    </row>
    <row r="140" spans="2:3" x14ac:dyDescent="0.3">
      <c r="B140" s="4" t="s">
        <v>641</v>
      </c>
      <c r="C140" s="6" t="s">
        <v>642</v>
      </c>
    </row>
    <row r="141" spans="2:3" x14ac:dyDescent="0.3">
      <c r="B141" s="4" t="s">
        <v>643</v>
      </c>
      <c r="C141" s="6" t="s">
        <v>644</v>
      </c>
    </row>
    <row r="142" spans="2:3" x14ac:dyDescent="0.3">
      <c r="B142" s="4" t="s">
        <v>152</v>
      </c>
      <c r="C142" s="6" t="s">
        <v>632</v>
      </c>
    </row>
    <row r="143" spans="2:3" x14ac:dyDescent="0.3">
      <c r="B143" s="4" t="s">
        <v>648</v>
      </c>
      <c r="C143" s="6" t="s">
        <v>649</v>
      </c>
    </row>
    <row r="144" spans="2:3" x14ac:dyDescent="0.3">
      <c r="B144" s="4" t="s">
        <v>650</v>
      </c>
      <c r="C144" s="6" t="s">
        <v>651</v>
      </c>
    </row>
    <row r="145" spans="2:3" x14ac:dyDescent="0.3">
      <c r="B145" s="4" t="s">
        <v>652</v>
      </c>
      <c r="C145" s="6" t="s">
        <v>653</v>
      </c>
    </row>
    <row r="146" spans="2:3" x14ac:dyDescent="0.3">
      <c r="B146" s="4" t="s">
        <v>654</v>
      </c>
      <c r="C146" s="6" t="s">
        <v>655</v>
      </c>
    </row>
    <row r="147" spans="2:3" ht="47.25" x14ac:dyDescent="0.3">
      <c r="B147" s="14" t="s">
        <v>631</v>
      </c>
      <c r="C147" s="10" t="s">
        <v>656</v>
      </c>
    </row>
    <row r="148" spans="2:3" x14ac:dyDescent="0.3">
      <c r="C148" s="12"/>
    </row>
    <row r="149" spans="2:3" x14ac:dyDescent="0.3">
      <c r="C149" s="12"/>
    </row>
    <row r="150" spans="2:3" x14ac:dyDescent="0.3">
      <c r="C150" s="12"/>
    </row>
    <row r="152" spans="2:3" x14ac:dyDescent="0.3">
      <c r="B152" s="344" t="s">
        <v>921</v>
      </c>
      <c r="C152" s="344" t="s">
        <v>591</v>
      </c>
    </row>
    <row r="153" spans="2:3" x14ac:dyDescent="0.3">
      <c r="B153" s="217" t="s">
        <v>30</v>
      </c>
      <c r="C153" s="218" t="s">
        <v>5</v>
      </c>
    </row>
    <row r="154" spans="2:3" x14ac:dyDescent="0.3">
      <c r="B154" s="4" t="s">
        <v>658</v>
      </c>
      <c r="C154" s="6" t="s">
        <v>671</v>
      </c>
    </row>
    <row r="155" spans="2:3" x14ac:dyDescent="0.3">
      <c r="B155" s="5" t="s">
        <v>659</v>
      </c>
      <c r="C155" s="6" t="s">
        <v>667</v>
      </c>
    </row>
    <row r="156" spans="2:3" x14ac:dyDescent="0.3">
      <c r="B156" s="5" t="s">
        <v>810</v>
      </c>
      <c r="C156" s="6" t="s">
        <v>668</v>
      </c>
    </row>
    <row r="157" spans="2:3" x14ac:dyDescent="0.3">
      <c r="B157" s="5" t="s">
        <v>660</v>
      </c>
      <c r="C157" s="6" t="s">
        <v>674</v>
      </c>
    </row>
    <row r="158" spans="2:3" x14ac:dyDescent="0.3">
      <c r="B158" s="4" t="s">
        <v>661</v>
      </c>
      <c r="C158" s="6" t="s">
        <v>669</v>
      </c>
    </row>
    <row r="159" spans="2:3" x14ac:dyDescent="0.3">
      <c r="B159" s="5" t="s">
        <v>663</v>
      </c>
      <c r="C159" s="6" t="s">
        <v>675</v>
      </c>
    </row>
    <row r="160" spans="2:3" x14ac:dyDescent="0.3">
      <c r="B160" s="5" t="s">
        <v>662</v>
      </c>
      <c r="C160" s="6" t="s">
        <v>677</v>
      </c>
    </row>
    <row r="161" spans="2:3" x14ac:dyDescent="0.3">
      <c r="B161" s="5" t="s">
        <v>676</v>
      </c>
      <c r="C161" s="6" t="s">
        <v>678</v>
      </c>
    </row>
    <row r="162" spans="2:3" x14ac:dyDescent="0.3">
      <c r="B162" s="4" t="s">
        <v>664</v>
      </c>
      <c r="C162" s="6" t="s">
        <v>670</v>
      </c>
    </row>
    <row r="163" spans="2:3" x14ac:dyDescent="0.3">
      <c r="B163" s="5" t="s">
        <v>665</v>
      </c>
      <c r="C163" s="6" t="s">
        <v>672</v>
      </c>
    </row>
    <row r="164" spans="2:3" x14ac:dyDescent="0.3">
      <c r="B164" s="7" t="s">
        <v>666</v>
      </c>
      <c r="C164" s="8" t="s">
        <v>673</v>
      </c>
    </row>
    <row r="169" spans="2:3" x14ac:dyDescent="0.3">
      <c r="B169" s="344" t="s">
        <v>922</v>
      </c>
      <c r="C169" s="344" t="s">
        <v>591</v>
      </c>
    </row>
    <row r="170" spans="2:3" x14ac:dyDescent="0.3">
      <c r="B170" s="217" t="s">
        <v>30</v>
      </c>
      <c r="C170" s="218" t="s">
        <v>5</v>
      </c>
    </row>
    <row r="171" spans="2:3" x14ac:dyDescent="0.3">
      <c r="B171" s="4" t="s">
        <v>681</v>
      </c>
      <c r="C171" s="6" t="s">
        <v>124</v>
      </c>
    </row>
    <row r="172" spans="2:3" x14ac:dyDescent="0.3">
      <c r="B172" s="4" t="s">
        <v>71</v>
      </c>
      <c r="C172" s="6" t="s">
        <v>72</v>
      </c>
    </row>
    <row r="173" spans="2:3" x14ac:dyDescent="0.3">
      <c r="B173" s="4" t="s">
        <v>69</v>
      </c>
      <c r="C173" s="6" t="s">
        <v>70</v>
      </c>
    </row>
    <row r="174" spans="2:3" x14ac:dyDescent="0.3">
      <c r="B174" s="4" t="s">
        <v>679</v>
      </c>
      <c r="C174" s="6" t="s">
        <v>684</v>
      </c>
    </row>
    <row r="175" spans="2:3" x14ac:dyDescent="0.3">
      <c r="B175" s="4" t="s">
        <v>680</v>
      </c>
      <c r="C175" s="6" t="s">
        <v>685</v>
      </c>
    </row>
    <row r="176" spans="2:3" ht="47.25" x14ac:dyDescent="0.3">
      <c r="B176" s="7" t="s">
        <v>802</v>
      </c>
      <c r="C176" s="10" t="s">
        <v>695</v>
      </c>
    </row>
    <row r="181" spans="2:3" x14ac:dyDescent="0.3">
      <c r="B181" s="344" t="s">
        <v>923</v>
      </c>
      <c r="C181" s="344" t="s">
        <v>591</v>
      </c>
    </row>
    <row r="182" spans="2:3" x14ac:dyDescent="0.3">
      <c r="B182" s="217" t="s">
        <v>30</v>
      </c>
      <c r="C182" s="218" t="s">
        <v>5</v>
      </c>
    </row>
    <row r="183" spans="2:3" x14ac:dyDescent="0.3">
      <c r="B183" s="4" t="s">
        <v>682</v>
      </c>
      <c r="C183" s="6" t="s">
        <v>689</v>
      </c>
    </row>
    <row r="184" spans="2:3" x14ac:dyDescent="0.3">
      <c r="B184" s="5" t="s">
        <v>342</v>
      </c>
      <c r="C184" s="6" t="s">
        <v>36</v>
      </c>
    </row>
    <row r="185" spans="2:3" x14ac:dyDescent="0.3">
      <c r="B185" s="5" t="s">
        <v>149</v>
      </c>
      <c r="C185" s="6" t="s">
        <v>688</v>
      </c>
    </row>
    <row r="186" spans="2:3" x14ac:dyDescent="0.3">
      <c r="B186" s="7" t="s">
        <v>683</v>
      </c>
      <c r="C186" s="8" t="s">
        <v>687</v>
      </c>
    </row>
    <row r="191" spans="2:3" x14ac:dyDescent="0.3">
      <c r="B191" s="344" t="s">
        <v>924</v>
      </c>
      <c r="C191" s="344" t="s">
        <v>591</v>
      </c>
    </row>
    <row r="192" spans="2:3" x14ac:dyDescent="0.3">
      <c r="B192" s="217" t="s">
        <v>30</v>
      </c>
      <c r="C192" s="218" t="s">
        <v>5</v>
      </c>
    </row>
    <row r="193" spans="2:3" x14ac:dyDescent="0.3">
      <c r="B193" s="4" t="s">
        <v>682</v>
      </c>
      <c r="C193" s="6" t="s">
        <v>686</v>
      </c>
    </row>
    <row r="194" spans="2:3" x14ac:dyDescent="0.3">
      <c r="B194" s="5" t="s">
        <v>342</v>
      </c>
      <c r="C194" s="6" t="s">
        <v>36</v>
      </c>
    </row>
    <row r="195" spans="2:3" x14ac:dyDescent="0.3">
      <c r="B195" s="5" t="s">
        <v>149</v>
      </c>
      <c r="C195" s="6" t="s">
        <v>688</v>
      </c>
    </row>
    <row r="196" spans="2:3" x14ac:dyDescent="0.3">
      <c r="B196" s="7" t="s">
        <v>683</v>
      </c>
      <c r="C196" s="8" t="s">
        <v>687</v>
      </c>
    </row>
    <row r="201" spans="2:3" x14ac:dyDescent="0.3">
      <c r="B201" s="341" t="s">
        <v>925</v>
      </c>
      <c r="C201" s="341" t="s">
        <v>591</v>
      </c>
    </row>
    <row r="202" spans="2:3" x14ac:dyDescent="0.3">
      <c r="B202" s="217" t="s">
        <v>30</v>
      </c>
      <c r="C202" s="218" t="s">
        <v>5</v>
      </c>
    </row>
    <row r="203" spans="2:3" x14ac:dyDescent="0.3">
      <c r="B203" s="4" t="s">
        <v>690</v>
      </c>
      <c r="C203" s="12" t="s">
        <v>694</v>
      </c>
    </row>
    <row r="204" spans="2:3" x14ac:dyDescent="0.3">
      <c r="B204" s="5" t="s">
        <v>342</v>
      </c>
      <c r="C204" s="6" t="s">
        <v>693</v>
      </c>
    </row>
    <row r="205" spans="2:3" ht="25.7" customHeight="1" x14ac:dyDescent="0.3">
      <c r="B205" s="5" t="s">
        <v>149</v>
      </c>
      <c r="C205" s="6" t="s">
        <v>691</v>
      </c>
    </row>
    <row r="206" spans="2:3" x14ac:dyDescent="0.3">
      <c r="B206" s="7" t="s">
        <v>683</v>
      </c>
      <c r="C206" s="8" t="s">
        <v>692</v>
      </c>
    </row>
    <row r="211" spans="2:3" x14ac:dyDescent="0.3">
      <c r="B211" s="341" t="s">
        <v>1287</v>
      </c>
      <c r="C211" s="341" t="s">
        <v>591</v>
      </c>
    </row>
    <row r="212" spans="2:3" x14ac:dyDescent="0.3">
      <c r="B212" s="217" t="s">
        <v>30</v>
      </c>
      <c r="C212" s="218" t="s">
        <v>5</v>
      </c>
    </row>
    <row r="213" spans="2:3" x14ac:dyDescent="0.3">
      <c r="B213" s="5" t="s">
        <v>696</v>
      </c>
      <c r="C213" s="12" t="s">
        <v>76</v>
      </c>
    </row>
    <row r="214" spans="2:3" x14ac:dyDescent="0.3">
      <c r="B214" s="5" t="s">
        <v>697</v>
      </c>
      <c r="C214" s="6" t="s">
        <v>699</v>
      </c>
    </row>
    <row r="215" spans="2:3" x14ac:dyDescent="0.3">
      <c r="B215" s="4" t="s">
        <v>698</v>
      </c>
      <c r="C215" s="6" t="s">
        <v>1288</v>
      </c>
    </row>
    <row r="216" spans="2:3" ht="31.5" x14ac:dyDescent="0.3">
      <c r="B216" s="7" t="s">
        <v>149</v>
      </c>
      <c r="C216" s="10" t="s">
        <v>700</v>
      </c>
    </row>
    <row r="221" spans="2:3" x14ac:dyDescent="0.3">
      <c r="B221" s="341" t="s">
        <v>926</v>
      </c>
      <c r="C221" s="341" t="s">
        <v>591</v>
      </c>
    </row>
    <row r="222" spans="2:3" x14ac:dyDescent="0.3">
      <c r="B222" s="217" t="s">
        <v>75</v>
      </c>
      <c r="C222" s="218" t="s">
        <v>701</v>
      </c>
    </row>
    <row r="223" spans="2:3" x14ac:dyDescent="0.3">
      <c r="B223" s="16" t="s">
        <v>119</v>
      </c>
      <c r="C223" s="17" t="s">
        <v>119</v>
      </c>
    </row>
    <row r="224" spans="2:3" x14ac:dyDescent="0.3">
      <c r="B224" s="4" t="s">
        <v>118</v>
      </c>
      <c r="C224" s="6" t="s">
        <v>702</v>
      </c>
    </row>
    <row r="225" spans="2:3" x14ac:dyDescent="0.3">
      <c r="B225" s="14" t="s">
        <v>117</v>
      </c>
      <c r="C225" s="8" t="s">
        <v>703</v>
      </c>
    </row>
    <row r="230" spans="2:3" x14ac:dyDescent="0.3">
      <c r="B230" s="341" t="s">
        <v>916</v>
      </c>
      <c r="C230" s="341" t="s">
        <v>591</v>
      </c>
    </row>
    <row r="231" spans="2:3" x14ac:dyDescent="0.3">
      <c r="B231" s="217" t="s">
        <v>30</v>
      </c>
      <c r="C231" s="218" t="s">
        <v>5</v>
      </c>
    </row>
    <row r="232" spans="2:3" ht="30" customHeight="1" x14ac:dyDescent="0.3">
      <c r="B232" s="18" t="s">
        <v>342</v>
      </c>
      <c r="C232" s="17" t="s">
        <v>36</v>
      </c>
    </row>
    <row r="233" spans="2:3" x14ac:dyDescent="0.3">
      <c r="B233" s="4" t="s">
        <v>73</v>
      </c>
      <c r="C233" s="12" t="s">
        <v>74</v>
      </c>
    </row>
    <row r="234" spans="2:3" ht="33.6" customHeight="1" x14ac:dyDescent="0.3">
      <c r="B234" s="4" t="s">
        <v>773</v>
      </c>
      <c r="C234" s="12" t="s">
        <v>780</v>
      </c>
    </row>
    <row r="235" spans="2:3" x14ac:dyDescent="0.3">
      <c r="B235" s="5" t="s">
        <v>713</v>
      </c>
      <c r="C235" s="6" t="s">
        <v>712</v>
      </c>
    </row>
    <row r="236" spans="2:3" x14ac:dyDescent="0.3">
      <c r="B236" s="4" t="s">
        <v>1188</v>
      </c>
      <c r="C236" s="303" t="s">
        <v>1101</v>
      </c>
    </row>
    <row r="237" spans="2:3" x14ac:dyDescent="0.3">
      <c r="B237" s="4" t="s">
        <v>737</v>
      </c>
      <c r="C237" s="286" t="s">
        <v>1189</v>
      </c>
    </row>
    <row r="238" spans="2:3" x14ac:dyDescent="0.3">
      <c r="B238" s="4" t="s">
        <v>1102</v>
      </c>
      <c r="C238" s="6" t="s">
        <v>1105</v>
      </c>
    </row>
    <row r="239" spans="2:3" x14ac:dyDescent="0.3">
      <c r="B239" s="5" t="s">
        <v>714</v>
      </c>
      <c r="C239" s="6" t="s">
        <v>1106</v>
      </c>
    </row>
    <row r="240" spans="2:3" x14ac:dyDescent="0.3">
      <c r="B240" s="7" t="s">
        <v>779</v>
      </c>
      <c r="C240" s="8" t="s">
        <v>789</v>
      </c>
    </row>
    <row r="245" spans="2:3" x14ac:dyDescent="0.3">
      <c r="B245" s="341" t="s">
        <v>927</v>
      </c>
      <c r="C245" s="341" t="s">
        <v>591</v>
      </c>
    </row>
    <row r="246" spans="2:3" x14ac:dyDescent="0.3">
      <c r="B246" s="217" t="s">
        <v>30</v>
      </c>
      <c r="C246" s="218" t="s">
        <v>5</v>
      </c>
    </row>
    <row r="247" spans="2:3" x14ac:dyDescent="0.3">
      <c r="B247" s="20" t="s">
        <v>730</v>
      </c>
      <c r="C247" s="17" t="s">
        <v>731</v>
      </c>
    </row>
    <row r="248" spans="2:3" ht="31.5" x14ac:dyDescent="0.3">
      <c r="B248" s="14" t="s">
        <v>732</v>
      </c>
      <c r="C248" s="10" t="s">
        <v>733</v>
      </c>
    </row>
    <row r="253" spans="2:3" x14ac:dyDescent="0.3">
      <c r="B253" s="341" t="s">
        <v>928</v>
      </c>
      <c r="C253" s="341" t="s">
        <v>591</v>
      </c>
    </row>
    <row r="254" spans="2:3" x14ac:dyDescent="0.3">
      <c r="B254" s="217" t="s">
        <v>73</v>
      </c>
      <c r="C254" s="218" t="s">
        <v>739</v>
      </c>
    </row>
    <row r="255" spans="2:3" ht="47.25" x14ac:dyDescent="0.3">
      <c r="B255" s="4" t="s">
        <v>234</v>
      </c>
      <c r="C255" s="12" t="s">
        <v>767</v>
      </c>
    </row>
    <row r="256" spans="2:3" ht="47.25" x14ac:dyDescent="0.3">
      <c r="B256" s="4" t="s">
        <v>235</v>
      </c>
      <c r="C256" s="12" t="s">
        <v>768</v>
      </c>
    </row>
    <row r="257" spans="2:3" x14ac:dyDescent="0.3">
      <c r="B257" s="4" t="s">
        <v>32</v>
      </c>
      <c r="C257" s="12" t="s">
        <v>769</v>
      </c>
    </row>
    <row r="258" spans="2:3" x14ac:dyDescent="0.3">
      <c r="B258" s="4" t="s">
        <v>35</v>
      </c>
      <c r="C258" s="12" t="s">
        <v>1113</v>
      </c>
    </row>
    <row r="259" spans="2:3" x14ac:dyDescent="0.3">
      <c r="B259" s="4" t="s">
        <v>236</v>
      </c>
      <c r="C259" s="12" t="s">
        <v>1114</v>
      </c>
    </row>
    <row r="260" spans="2:3" x14ac:dyDescent="0.3">
      <c r="B260" s="14" t="s">
        <v>40</v>
      </c>
      <c r="C260" s="10" t="s">
        <v>770</v>
      </c>
    </row>
    <row r="265" spans="2:3" x14ac:dyDescent="0.3">
      <c r="B265" s="341" t="s">
        <v>929</v>
      </c>
      <c r="C265" s="341" t="s">
        <v>591</v>
      </c>
    </row>
    <row r="266" spans="2:3" x14ac:dyDescent="0.3">
      <c r="B266" s="217" t="s">
        <v>30</v>
      </c>
      <c r="C266" s="218" t="s">
        <v>5</v>
      </c>
    </row>
    <row r="267" spans="2:3" ht="37.700000000000003" customHeight="1" x14ac:dyDescent="0.3">
      <c r="B267" s="4" t="s">
        <v>588</v>
      </c>
      <c r="C267" s="12" t="s">
        <v>760</v>
      </c>
    </row>
    <row r="268" spans="2:3" x14ac:dyDescent="0.3">
      <c r="B268" s="5" t="s">
        <v>754</v>
      </c>
      <c r="C268" s="12" t="s">
        <v>753</v>
      </c>
    </row>
    <row r="269" spans="2:3" ht="38.450000000000003" customHeight="1" x14ac:dyDescent="0.3">
      <c r="B269" s="4" t="s">
        <v>752</v>
      </c>
      <c r="C269" s="12" t="s">
        <v>755</v>
      </c>
    </row>
    <row r="270" spans="2:3" x14ac:dyDescent="0.3">
      <c r="B270" s="5" t="s">
        <v>589</v>
      </c>
      <c r="C270" s="6" t="s">
        <v>1173</v>
      </c>
    </row>
    <row r="271" spans="2:3" x14ac:dyDescent="0.3">
      <c r="B271" s="7" t="s">
        <v>621</v>
      </c>
      <c r="C271" s="8" t="s">
        <v>756</v>
      </c>
    </row>
    <row r="276" spans="2:3" x14ac:dyDescent="0.3">
      <c r="B276" s="341" t="s">
        <v>930</v>
      </c>
      <c r="C276" s="341" t="s">
        <v>591</v>
      </c>
    </row>
    <row r="277" spans="2:3" x14ac:dyDescent="0.3">
      <c r="B277" s="217" t="s">
        <v>73</v>
      </c>
      <c r="C277" s="218" t="s">
        <v>773</v>
      </c>
    </row>
    <row r="278" spans="2:3" ht="31.5" x14ac:dyDescent="0.3">
      <c r="B278" s="21" t="s">
        <v>796</v>
      </c>
      <c r="C278" s="22" t="s">
        <v>774</v>
      </c>
    </row>
    <row r="279" spans="2:3" x14ac:dyDescent="0.3">
      <c r="B279" s="4" t="s">
        <v>775</v>
      </c>
      <c r="C279" s="22" t="s">
        <v>776</v>
      </c>
    </row>
    <row r="280" spans="2:3" x14ac:dyDescent="0.3">
      <c r="B280" s="14" t="s">
        <v>35</v>
      </c>
      <c r="C280" s="23" t="s">
        <v>777</v>
      </c>
    </row>
    <row r="285" spans="2:3" x14ac:dyDescent="0.3">
      <c r="B285" s="341" t="s">
        <v>1263</v>
      </c>
      <c r="C285" s="341" t="s">
        <v>591</v>
      </c>
    </row>
    <row r="286" spans="2:3" x14ac:dyDescent="0.3">
      <c r="B286" s="217" t="s">
        <v>30</v>
      </c>
      <c r="C286" s="218" t="s">
        <v>5</v>
      </c>
    </row>
    <row r="287" spans="2:3" x14ac:dyDescent="0.3">
      <c r="B287" s="4" t="s">
        <v>781</v>
      </c>
      <c r="C287" s="12" t="s">
        <v>786</v>
      </c>
    </row>
    <row r="288" spans="2:3" x14ac:dyDescent="0.3">
      <c r="B288" s="4" t="s">
        <v>782</v>
      </c>
      <c r="C288" s="12" t="s">
        <v>787</v>
      </c>
    </row>
    <row r="289" spans="2:3" x14ac:dyDescent="0.3">
      <c r="B289" s="4" t="s">
        <v>783</v>
      </c>
      <c r="C289" s="12" t="s">
        <v>788</v>
      </c>
    </row>
    <row r="290" spans="2:3" x14ac:dyDescent="0.3">
      <c r="B290" s="4" t="s">
        <v>1265</v>
      </c>
      <c r="C290" s="280" t="s">
        <v>1264</v>
      </c>
    </row>
    <row r="291" spans="2:3" x14ac:dyDescent="0.3">
      <c r="B291" s="5" t="s">
        <v>784</v>
      </c>
      <c r="C291" s="12" t="s">
        <v>785</v>
      </c>
    </row>
    <row r="292" spans="2:3" x14ac:dyDescent="0.3">
      <c r="B292" s="5" t="s">
        <v>342</v>
      </c>
      <c r="C292" s="24" t="s">
        <v>36</v>
      </c>
    </row>
    <row r="293" spans="2:3" x14ac:dyDescent="0.3">
      <c r="B293" s="5" t="s">
        <v>713</v>
      </c>
      <c r="C293" s="24" t="s">
        <v>712</v>
      </c>
    </row>
    <row r="294" spans="2:3" x14ac:dyDescent="0.3">
      <c r="B294" s="216" t="s">
        <v>714</v>
      </c>
      <c r="C294" s="24" t="s">
        <v>1266</v>
      </c>
    </row>
    <row r="295" spans="2:3" ht="31.5" x14ac:dyDescent="0.3">
      <c r="B295" s="25" t="s">
        <v>779</v>
      </c>
      <c r="C295" s="26" t="s">
        <v>799</v>
      </c>
    </row>
    <row r="299" spans="2:3" x14ac:dyDescent="0.3">
      <c r="B299" s="341" t="s">
        <v>931</v>
      </c>
      <c r="C299" s="341" t="s">
        <v>591</v>
      </c>
    </row>
    <row r="300" spans="2:3" x14ac:dyDescent="0.3">
      <c r="B300" s="217" t="s">
        <v>30</v>
      </c>
      <c r="C300" s="218" t="s">
        <v>5</v>
      </c>
    </row>
    <row r="301" spans="2:3" x14ac:dyDescent="0.3">
      <c r="B301" s="4" t="s">
        <v>781</v>
      </c>
      <c r="C301" s="12" t="s">
        <v>786</v>
      </c>
    </row>
    <row r="302" spans="2:3" x14ac:dyDescent="0.3">
      <c r="B302" s="4" t="s">
        <v>792</v>
      </c>
      <c r="C302" s="12" t="s">
        <v>785</v>
      </c>
    </row>
    <row r="303" spans="2:3" ht="15" customHeight="1" x14ac:dyDescent="0.3">
      <c r="B303" s="4" t="s">
        <v>790</v>
      </c>
      <c r="C303" s="12" t="s">
        <v>794</v>
      </c>
    </row>
    <row r="304" spans="2:3" x14ac:dyDescent="0.3">
      <c r="B304" s="4" t="s">
        <v>791</v>
      </c>
      <c r="C304" s="12" t="s">
        <v>795</v>
      </c>
    </row>
    <row r="305" spans="2:3" x14ac:dyDescent="0.3">
      <c r="B305" s="4" t="s">
        <v>797</v>
      </c>
      <c r="C305" s="12" t="s">
        <v>798</v>
      </c>
    </row>
    <row r="306" spans="2:3" x14ac:dyDescent="0.3">
      <c r="B306" s="4" t="s">
        <v>1260</v>
      </c>
      <c r="C306" s="12" t="s">
        <v>1262</v>
      </c>
    </row>
    <row r="307" spans="2:3" ht="31.5" x14ac:dyDescent="0.3">
      <c r="B307" s="7" t="s">
        <v>793</v>
      </c>
      <c r="C307" s="10" t="s">
        <v>1261</v>
      </c>
    </row>
    <row r="312" spans="2:3" x14ac:dyDescent="0.3">
      <c r="B312" s="341" t="s">
        <v>932</v>
      </c>
      <c r="C312" s="341" t="s">
        <v>591</v>
      </c>
    </row>
    <row r="313" spans="2:3" x14ac:dyDescent="0.3">
      <c r="B313" s="217" t="s">
        <v>30</v>
      </c>
      <c r="C313" s="218" t="s">
        <v>5</v>
      </c>
    </row>
    <row r="314" spans="2:3" ht="15" customHeight="1" x14ac:dyDescent="0.3">
      <c r="B314" s="14" t="s">
        <v>73</v>
      </c>
      <c r="C314" s="10" t="s">
        <v>815</v>
      </c>
    </row>
    <row r="319" spans="2:3" x14ac:dyDescent="0.3">
      <c r="B319" s="341" t="s">
        <v>933</v>
      </c>
      <c r="C319" s="341" t="s">
        <v>591</v>
      </c>
    </row>
    <row r="320" spans="2:3" x14ac:dyDescent="0.3">
      <c r="B320" s="217" t="s">
        <v>30</v>
      </c>
      <c r="C320" s="218" t="s">
        <v>5</v>
      </c>
    </row>
    <row r="321" spans="2:3" ht="63" x14ac:dyDescent="0.3">
      <c r="B321" s="4" t="s">
        <v>871</v>
      </c>
      <c r="C321" s="280" t="s">
        <v>1267</v>
      </c>
    </row>
    <row r="322" spans="2:3" x14ac:dyDescent="0.3">
      <c r="B322" s="4" t="s">
        <v>2</v>
      </c>
      <c r="C322" s="12" t="s">
        <v>632</v>
      </c>
    </row>
    <row r="323" spans="2:3" x14ac:dyDescent="0.3">
      <c r="B323" s="14" t="s">
        <v>39</v>
      </c>
      <c r="C323" s="8" t="s">
        <v>818</v>
      </c>
    </row>
    <row r="328" spans="2:3" x14ac:dyDescent="0.3">
      <c r="B328" s="341" t="s">
        <v>934</v>
      </c>
      <c r="C328" s="341" t="s">
        <v>591</v>
      </c>
    </row>
    <row r="329" spans="2:3" x14ac:dyDescent="0.3">
      <c r="B329" s="217" t="s">
        <v>30</v>
      </c>
      <c r="C329" s="218" t="s">
        <v>5</v>
      </c>
    </row>
    <row r="330" spans="2:3" x14ac:dyDescent="0.3">
      <c r="B330" s="4" t="s">
        <v>2</v>
      </c>
      <c r="C330" s="12" t="s">
        <v>820</v>
      </c>
    </row>
    <row r="331" spans="2:3" x14ac:dyDescent="0.3">
      <c r="B331" s="4" t="s">
        <v>162</v>
      </c>
      <c r="C331" s="12" t="s">
        <v>821</v>
      </c>
    </row>
    <row r="332" spans="2:3" x14ac:dyDescent="0.3">
      <c r="B332" s="14" t="s">
        <v>823</v>
      </c>
      <c r="C332" s="10" t="s">
        <v>822</v>
      </c>
    </row>
    <row r="336" spans="2:3" customFormat="1" ht="15" x14ac:dyDescent="0.25"/>
    <row r="337" spans="2:5" x14ac:dyDescent="0.3">
      <c r="B337" s="341" t="s">
        <v>935</v>
      </c>
      <c r="C337" s="341" t="s">
        <v>591</v>
      </c>
    </row>
    <row r="338" spans="2:5" x14ac:dyDescent="0.3">
      <c r="B338" s="217" t="s">
        <v>30</v>
      </c>
      <c r="C338" s="218" t="s">
        <v>5</v>
      </c>
    </row>
    <row r="339" spans="2:5" x14ac:dyDescent="0.3">
      <c r="B339" s="5" t="s">
        <v>713</v>
      </c>
      <c r="C339" s="12" t="s">
        <v>835</v>
      </c>
    </row>
    <row r="340" spans="2:5" x14ac:dyDescent="0.3">
      <c r="B340" s="5" t="s">
        <v>150</v>
      </c>
      <c r="C340" s="280" t="s">
        <v>1259</v>
      </c>
    </row>
    <row r="341" spans="2:5" x14ac:dyDescent="0.3">
      <c r="B341" s="7" t="s">
        <v>342</v>
      </c>
      <c r="C341" s="10" t="s">
        <v>632</v>
      </c>
    </row>
    <row r="346" spans="2:5" x14ac:dyDescent="0.3">
      <c r="B346" s="341" t="s">
        <v>1158</v>
      </c>
      <c r="C346" s="341"/>
      <c r="D346" s="347"/>
      <c r="E346" s="347"/>
    </row>
    <row r="347" spans="2:5" ht="57.6" customHeight="1" x14ac:dyDescent="0.3">
      <c r="B347" s="217" t="s">
        <v>1159</v>
      </c>
      <c r="C347" s="217" t="s">
        <v>2</v>
      </c>
      <c r="D347" s="217" t="s">
        <v>75</v>
      </c>
      <c r="E347" s="218" t="s">
        <v>621</v>
      </c>
    </row>
    <row r="348" spans="2:5" x14ac:dyDescent="0.3">
      <c r="B348" s="350" t="s">
        <v>1160</v>
      </c>
      <c r="C348" s="351" t="s">
        <v>113</v>
      </c>
      <c r="D348" s="13" t="s">
        <v>117</v>
      </c>
      <c r="E348" s="223" t="s">
        <v>850</v>
      </c>
    </row>
    <row r="349" spans="2:5" x14ac:dyDescent="0.3">
      <c r="B349" s="348"/>
      <c r="C349" s="345"/>
      <c r="D349" s="342" t="s">
        <v>836</v>
      </c>
      <c r="E349" s="223" t="s">
        <v>850</v>
      </c>
    </row>
    <row r="350" spans="2:5" x14ac:dyDescent="0.3">
      <c r="B350" s="346"/>
      <c r="C350" s="346"/>
      <c r="D350" s="343"/>
      <c r="E350" s="223" t="s">
        <v>851</v>
      </c>
    </row>
    <row r="351" spans="2:5" x14ac:dyDescent="0.3">
      <c r="B351" s="346"/>
      <c r="C351" s="346"/>
      <c r="D351" s="343"/>
      <c r="E351" s="223" t="s">
        <v>852</v>
      </c>
    </row>
    <row r="352" spans="2:5" x14ac:dyDescent="0.3">
      <c r="B352" s="346"/>
      <c r="C352" s="345" t="s">
        <v>114</v>
      </c>
      <c r="D352" s="4" t="s">
        <v>117</v>
      </c>
      <c r="E352" s="223" t="s">
        <v>853</v>
      </c>
    </row>
    <row r="353" spans="2:5" x14ac:dyDescent="0.3">
      <c r="B353" s="346"/>
      <c r="C353" s="345"/>
      <c r="D353" s="342" t="s">
        <v>836</v>
      </c>
      <c r="E353" s="223" t="s">
        <v>853</v>
      </c>
    </row>
    <row r="354" spans="2:5" x14ac:dyDescent="0.3">
      <c r="B354" s="346"/>
      <c r="C354" s="346"/>
      <c r="D354" s="343"/>
      <c r="E354" s="223" t="s">
        <v>854</v>
      </c>
    </row>
    <row r="355" spans="2:5" x14ac:dyDescent="0.3">
      <c r="B355" s="346"/>
      <c r="C355" s="346"/>
      <c r="D355" s="343"/>
      <c r="E355" s="223" t="s">
        <v>855</v>
      </c>
    </row>
    <row r="356" spans="2:5" x14ac:dyDescent="0.3">
      <c r="B356" s="346"/>
      <c r="C356" s="224" t="s">
        <v>422</v>
      </c>
      <c r="E356" s="6" t="s">
        <v>856</v>
      </c>
    </row>
    <row r="357" spans="2:5" x14ac:dyDescent="0.3">
      <c r="B357" s="348" t="s">
        <v>1161</v>
      </c>
      <c r="C357" s="345" t="s">
        <v>113</v>
      </c>
      <c r="D357" s="4" t="s">
        <v>117</v>
      </c>
      <c r="E357" s="223" t="s">
        <v>857</v>
      </c>
    </row>
    <row r="358" spans="2:5" x14ac:dyDescent="0.3">
      <c r="B358" s="348"/>
      <c r="C358" s="345"/>
      <c r="D358" s="342" t="s">
        <v>836</v>
      </c>
      <c r="E358" s="223" t="s">
        <v>857</v>
      </c>
    </row>
    <row r="359" spans="2:5" ht="15" customHeight="1" x14ac:dyDescent="0.3">
      <c r="B359" s="346"/>
      <c r="C359" s="346"/>
      <c r="D359" s="353"/>
      <c r="E359" s="223" t="s">
        <v>858</v>
      </c>
    </row>
    <row r="360" spans="2:5" x14ac:dyDescent="0.3">
      <c r="B360" s="346"/>
      <c r="C360" s="346"/>
      <c r="D360" s="353"/>
      <c r="E360" s="223" t="s">
        <v>859</v>
      </c>
    </row>
    <row r="361" spans="2:5" x14ac:dyDescent="0.3">
      <c r="B361" s="346"/>
      <c r="C361" s="345" t="s">
        <v>114</v>
      </c>
      <c r="D361" s="4" t="s">
        <v>117</v>
      </c>
      <c r="E361" s="223" t="s">
        <v>860</v>
      </c>
    </row>
    <row r="362" spans="2:5" x14ac:dyDescent="0.3">
      <c r="B362" s="346"/>
      <c r="C362" s="346"/>
      <c r="D362" s="342" t="s">
        <v>836</v>
      </c>
      <c r="E362" s="223" t="s">
        <v>860</v>
      </c>
    </row>
    <row r="363" spans="2:5" x14ac:dyDescent="0.3">
      <c r="B363" s="346"/>
      <c r="C363" s="346"/>
      <c r="D363" s="342"/>
      <c r="E363" s="223" t="s">
        <v>861</v>
      </c>
    </row>
    <row r="364" spans="2:5" x14ac:dyDescent="0.3">
      <c r="B364" s="346"/>
      <c r="C364" s="346"/>
      <c r="D364" s="352"/>
      <c r="E364" s="223" t="s">
        <v>862</v>
      </c>
    </row>
    <row r="365" spans="2:5" x14ac:dyDescent="0.3">
      <c r="B365" s="349"/>
      <c r="C365" s="227" t="s">
        <v>422</v>
      </c>
      <c r="D365" s="14"/>
      <c r="E365" s="14" t="s">
        <v>856</v>
      </c>
    </row>
    <row r="370" spans="2:3" x14ac:dyDescent="0.3">
      <c r="B370" s="341" t="s">
        <v>936</v>
      </c>
      <c r="C370" s="319"/>
    </row>
    <row r="371" spans="2:3" x14ac:dyDescent="0.3">
      <c r="B371" s="217" t="s">
        <v>30</v>
      </c>
      <c r="C371" s="218" t="s">
        <v>5</v>
      </c>
    </row>
    <row r="372" spans="2:3" ht="35.450000000000003" customHeight="1" x14ac:dyDescent="0.3">
      <c r="B372" s="5" t="s">
        <v>863</v>
      </c>
      <c r="C372" s="12" t="s">
        <v>864</v>
      </c>
    </row>
    <row r="373" spans="2:3" ht="31.5" x14ac:dyDescent="0.3">
      <c r="B373" s="226" t="s">
        <v>894</v>
      </c>
      <c r="C373" s="12" t="s">
        <v>872</v>
      </c>
    </row>
    <row r="374" spans="2:3" ht="31.5" x14ac:dyDescent="0.3">
      <c r="B374" s="226" t="s">
        <v>893</v>
      </c>
      <c r="C374" s="12" t="s">
        <v>873</v>
      </c>
    </row>
    <row r="375" spans="2:3" ht="31.5" x14ac:dyDescent="0.3">
      <c r="B375" s="226" t="s">
        <v>892</v>
      </c>
      <c r="C375" s="12" t="s">
        <v>874</v>
      </c>
    </row>
    <row r="376" spans="2:3" ht="31.5" x14ac:dyDescent="0.3">
      <c r="B376" s="226" t="s">
        <v>622</v>
      </c>
      <c r="C376" s="12" t="s">
        <v>875</v>
      </c>
    </row>
    <row r="377" spans="2:3" ht="31.5" x14ac:dyDescent="0.3">
      <c r="B377" s="226" t="s">
        <v>891</v>
      </c>
      <c r="C377" s="12" t="s">
        <v>876</v>
      </c>
    </row>
    <row r="378" spans="2:3" ht="31.5" x14ac:dyDescent="0.3">
      <c r="B378" s="226" t="s">
        <v>890</v>
      </c>
      <c r="C378" s="12" t="s">
        <v>877</v>
      </c>
    </row>
    <row r="379" spans="2:3" ht="31.5" x14ac:dyDescent="0.3">
      <c r="B379" s="226" t="s">
        <v>889</v>
      </c>
      <c r="C379" s="12" t="s">
        <v>878</v>
      </c>
    </row>
    <row r="380" spans="2:3" ht="31.5" x14ac:dyDescent="0.3">
      <c r="B380" s="226" t="s">
        <v>888</v>
      </c>
      <c r="C380" s="12" t="s">
        <v>879</v>
      </c>
    </row>
    <row r="381" spans="2:3" ht="31.5" x14ac:dyDescent="0.3">
      <c r="B381" s="226" t="s">
        <v>887</v>
      </c>
      <c r="C381" s="12" t="s">
        <v>880</v>
      </c>
    </row>
    <row r="382" spans="2:3" ht="31.5" x14ac:dyDescent="0.3">
      <c r="B382" s="226" t="s">
        <v>623</v>
      </c>
      <c r="C382" s="12" t="s">
        <v>881</v>
      </c>
    </row>
    <row r="383" spans="2:3" ht="31.5" x14ac:dyDescent="0.3">
      <c r="B383" s="226" t="s">
        <v>886</v>
      </c>
      <c r="C383" s="12" t="s">
        <v>882</v>
      </c>
    </row>
    <row r="384" spans="2:3" ht="31.5" x14ac:dyDescent="0.3">
      <c r="B384" s="226" t="s">
        <v>885</v>
      </c>
      <c r="C384" s="12" t="s">
        <v>883</v>
      </c>
    </row>
    <row r="385" spans="2:14" ht="63" x14ac:dyDescent="0.3">
      <c r="B385" s="230" t="s">
        <v>884</v>
      </c>
      <c r="C385" s="12" t="s">
        <v>1094</v>
      </c>
    </row>
    <row r="386" spans="2:14" x14ac:dyDescent="0.3">
      <c r="B386" s="231" t="s">
        <v>895</v>
      </c>
      <c r="C386" s="10" t="s">
        <v>896</v>
      </c>
    </row>
    <row r="388" spans="2:14" ht="15" customHeight="1" x14ac:dyDescent="0.3"/>
    <row r="391" spans="2:14" x14ac:dyDescent="0.3">
      <c r="B391" s="341" t="s">
        <v>1233</v>
      </c>
      <c r="C391" s="341" t="s">
        <v>944</v>
      </c>
      <c r="D391" s="226"/>
      <c r="E391" s="226"/>
      <c r="F391" s="226"/>
      <c r="G391" s="226"/>
      <c r="H391" s="226"/>
      <c r="I391" s="226"/>
      <c r="J391" s="226"/>
      <c r="K391" s="226"/>
      <c r="L391" s="226"/>
      <c r="M391" s="226"/>
      <c r="N391" s="226"/>
    </row>
    <row r="392" spans="2:14" x14ac:dyDescent="0.3">
      <c r="B392" s="217" t="s">
        <v>30</v>
      </c>
      <c r="C392" s="218" t="s">
        <v>5</v>
      </c>
    </row>
    <row r="393" spans="2:14" x14ac:dyDescent="0.3">
      <c r="B393" s="19" t="s">
        <v>71</v>
      </c>
      <c r="C393" s="17" t="s">
        <v>72</v>
      </c>
    </row>
    <row r="394" spans="2:14" x14ac:dyDescent="0.3">
      <c r="B394" s="4" t="s">
        <v>69</v>
      </c>
      <c r="C394" s="12" t="s">
        <v>70</v>
      </c>
    </row>
    <row r="395" spans="2:14" x14ac:dyDescent="0.3">
      <c r="B395" s="4" t="s">
        <v>717</v>
      </c>
      <c r="C395" s="12" t="s">
        <v>716</v>
      </c>
    </row>
    <row r="396" spans="2:14" ht="31.5" x14ac:dyDescent="0.3">
      <c r="B396" s="5" t="s">
        <v>2</v>
      </c>
      <c r="C396" s="12" t="s">
        <v>736</v>
      </c>
    </row>
    <row r="397" spans="2:14" x14ac:dyDescent="0.3">
      <c r="B397" s="5" t="s">
        <v>73</v>
      </c>
      <c r="C397" s="12" t="s">
        <v>1311</v>
      </c>
    </row>
    <row r="398" spans="2:14" x14ac:dyDescent="0.3">
      <c r="B398" s="5" t="s">
        <v>751</v>
      </c>
      <c r="C398" s="12" t="s">
        <v>772</v>
      </c>
    </row>
    <row r="399" spans="2:14" x14ac:dyDescent="0.3">
      <c r="B399" s="5" t="s">
        <v>718</v>
      </c>
      <c r="C399" s="12" t="s">
        <v>719</v>
      </c>
    </row>
    <row r="400" spans="2:14" ht="31.5" x14ac:dyDescent="0.3">
      <c r="B400" s="5" t="s">
        <v>720</v>
      </c>
      <c r="C400" s="12" t="s">
        <v>735</v>
      </c>
    </row>
    <row r="401" spans="2:3" x14ac:dyDescent="0.3">
      <c r="B401" s="4" t="s">
        <v>723</v>
      </c>
      <c r="C401" s="12" t="s">
        <v>726</v>
      </c>
    </row>
    <row r="402" spans="2:3" x14ac:dyDescent="0.3">
      <c r="B402" s="4" t="s">
        <v>724</v>
      </c>
      <c r="C402" s="12" t="s">
        <v>725</v>
      </c>
    </row>
    <row r="403" spans="2:3" x14ac:dyDescent="0.3">
      <c r="B403" s="4" t="s">
        <v>728</v>
      </c>
      <c r="C403" s="12" t="s">
        <v>729</v>
      </c>
    </row>
    <row r="404" spans="2:3" x14ac:dyDescent="0.3">
      <c r="B404" s="4" t="s">
        <v>721</v>
      </c>
      <c r="C404" s="12" t="s">
        <v>727</v>
      </c>
    </row>
    <row r="405" spans="2:3" ht="31.5" x14ac:dyDescent="0.3">
      <c r="B405" s="4" t="s">
        <v>738</v>
      </c>
      <c r="C405" s="12" t="s">
        <v>937</v>
      </c>
    </row>
    <row r="406" spans="2:3" ht="31.5" x14ac:dyDescent="0.3">
      <c r="B406" s="4" t="s">
        <v>942</v>
      </c>
      <c r="C406" s="280" t="s">
        <v>1248</v>
      </c>
    </row>
    <row r="407" spans="2:3" ht="31.5" x14ac:dyDescent="0.3">
      <c r="B407" s="4" t="s">
        <v>943</v>
      </c>
      <c r="C407" s="280" t="s">
        <v>1249</v>
      </c>
    </row>
    <row r="408" spans="2:3" x14ac:dyDescent="0.3">
      <c r="B408" s="5" t="s">
        <v>715</v>
      </c>
      <c r="C408" s="12" t="s">
        <v>771</v>
      </c>
    </row>
    <row r="409" spans="2:3" ht="31.5" x14ac:dyDescent="0.3">
      <c r="B409" s="5" t="s">
        <v>945</v>
      </c>
      <c r="C409" s="12" t="s">
        <v>947</v>
      </c>
    </row>
    <row r="410" spans="2:3" ht="47.25" x14ac:dyDescent="0.3">
      <c r="B410" s="7" t="s">
        <v>946</v>
      </c>
      <c r="C410" s="10" t="s">
        <v>948</v>
      </c>
    </row>
    <row r="415" spans="2:3" ht="15" customHeight="1" x14ac:dyDescent="0.3">
      <c r="B415" s="340" t="s">
        <v>976</v>
      </c>
      <c r="C415" s="340"/>
    </row>
    <row r="416" spans="2:3" x14ac:dyDescent="0.3">
      <c r="B416" s="234" t="s">
        <v>30</v>
      </c>
      <c r="C416" s="235" t="s">
        <v>972</v>
      </c>
    </row>
    <row r="417" spans="2:3" x14ac:dyDescent="0.3">
      <c r="B417" s="236" t="s">
        <v>73</v>
      </c>
      <c r="C417" s="237" t="s">
        <v>1239</v>
      </c>
    </row>
    <row r="418" spans="2:3" x14ac:dyDescent="0.3">
      <c r="B418" s="307" t="s">
        <v>432</v>
      </c>
      <c r="C418" s="308" t="s">
        <v>1240</v>
      </c>
    </row>
    <row r="422" spans="2:3" x14ac:dyDescent="0.3">
      <c r="B422" s="341" t="s">
        <v>1232</v>
      </c>
      <c r="C422" s="341"/>
    </row>
    <row r="423" spans="2:3" x14ac:dyDescent="0.3">
      <c r="B423" s="234" t="s">
        <v>30</v>
      </c>
      <c r="C423" s="235" t="s">
        <v>972</v>
      </c>
    </row>
    <row r="424" spans="2:3" x14ac:dyDescent="0.3">
      <c r="B424" s="281" t="s">
        <v>1103</v>
      </c>
      <c r="C424" s="282" t="s">
        <v>1104</v>
      </c>
    </row>
    <row r="428" spans="2:3" x14ac:dyDescent="0.3">
      <c r="B428" s="340" t="s">
        <v>1241</v>
      </c>
      <c r="C428" s="340"/>
    </row>
    <row r="429" spans="2:3" x14ac:dyDescent="0.3">
      <c r="B429" s="234" t="s">
        <v>30</v>
      </c>
      <c r="C429" s="235" t="s">
        <v>972</v>
      </c>
    </row>
    <row r="430" spans="2:3" x14ac:dyDescent="0.3">
      <c r="B430" s="236" t="s">
        <v>278</v>
      </c>
      <c r="C430" s="237" t="s">
        <v>74</v>
      </c>
    </row>
    <row r="431" spans="2:3" x14ac:dyDescent="0.3">
      <c r="B431" s="134" t="s">
        <v>973</v>
      </c>
      <c r="C431" s="135" t="s">
        <v>1246</v>
      </c>
    </row>
    <row r="432" spans="2:3" x14ac:dyDescent="0.3">
      <c r="B432" s="134" t="s">
        <v>974</v>
      </c>
      <c r="C432" s="135" t="s">
        <v>1242</v>
      </c>
    </row>
    <row r="433" spans="2:3" x14ac:dyDescent="0.3">
      <c r="B433" s="134" t="s">
        <v>975</v>
      </c>
      <c r="C433" s="135" t="s">
        <v>1243</v>
      </c>
    </row>
    <row r="434" spans="2:3" x14ac:dyDescent="0.3">
      <c r="B434" s="307" t="s">
        <v>432</v>
      </c>
      <c r="C434" s="308" t="s">
        <v>1244</v>
      </c>
    </row>
  </sheetData>
  <mergeCells count="46">
    <mergeCell ref="B211:C211"/>
    <mergeCell ref="B191:C191"/>
    <mergeCell ref="B169:C169"/>
    <mergeCell ref="B3:C3"/>
    <mergeCell ref="B11:C11"/>
    <mergeCell ref="B152:C152"/>
    <mergeCell ref="B80:C80"/>
    <mergeCell ref="C82:C83"/>
    <mergeCell ref="C84:C85"/>
    <mergeCell ref="B91:C91"/>
    <mergeCell ref="B120:C120"/>
    <mergeCell ref="B100:C100"/>
    <mergeCell ref="B107:C107"/>
    <mergeCell ref="B114:C114"/>
    <mergeCell ref="C357:C360"/>
    <mergeCell ref="C361:C364"/>
    <mergeCell ref="B132:C132"/>
    <mergeCell ref="B276:C276"/>
    <mergeCell ref="B245:C245"/>
    <mergeCell ref="B265:C265"/>
    <mergeCell ref="B346:E346"/>
    <mergeCell ref="B357:B365"/>
    <mergeCell ref="B348:B356"/>
    <mergeCell ref="C348:C351"/>
    <mergeCell ref="C352:C355"/>
    <mergeCell ref="D362:D364"/>
    <mergeCell ref="D358:D360"/>
    <mergeCell ref="B230:C230"/>
    <mergeCell ref="B201:C201"/>
    <mergeCell ref="B221:C221"/>
    <mergeCell ref="B428:C428"/>
    <mergeCell ref="B25:C25"/>
    <mergeCell ref="D349:D351"/>
    <mergeCell ref="D353:D355"/>
    <mergeCell ref="B422:C422"/>
    <mergeCell ref="B391:C391"/>
    <mergeCell ref="B370:C370"/>
    <mergeCell ref="B285:C285"/>
    <mergeCell ref="B415:C415"/>
    <mergeCell ref="B337:C337"/>
    <mergeCell ref="B319:C319"/>
    <mergeCell ref="B328:C328"/>
    <mergeCell ref="B312:C312"/>
    <mergeCell ref="B253:C253"/>
    <mergeCell ref="B299:C299"/>
    <mergeCell ref="B181:C18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Validation</vt:lpstr>
      <vt:lpstr>Main</vt:lpstr>
      <vt:lpstr>Coverages</vt:lpstr>
      <vt:lpstr>Census</vt:lpstr>
      <vt:lpstr>Classes</vt:lpstr>
      <vt:lpstr>AgeCalculation</vt:lpstr>
      <vt:lpstr>AgeBanded</vt:lpstr>
      <vt:lpstr>RateCalc</vt:lpstr>
      <vt:lpstr>ClaimCost</vt:lpstr>
      <vt:lpstr>Environment</vt:lpstr>
      <vt:lpstr>RatingDetails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Maryia Gontarava</dc:creator>
  <cp:lastModifiedBy>EISGroup Latvia 16</cp:lastModifiedBy>
  <dcterms:modified xsi:type="dcterms:W3CDTF">2024-08-23T12:21:46Z</dcterms:modified>
</cp:coreProperties>
</file>