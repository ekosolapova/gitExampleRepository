
<file path=[Content_Types].xml><?xml version="1.0" encoding="utf-8"?>
<Types xmlns="http://schemas.openxmlformats.org/package/2006/content-types">
  <Default ContentType="image/jpeg" Extension="jpeg"/>
  <Default ContentType="image/png" Extension="png"/>
  <Default ContentType="application/vnd.openxmlformats-package.relationships+xml" Extension="rels"/>
  <Default ContentType="application/xml" Extension="xml"/>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package.relationships+xml" PartName="/xl/_rels/workbook.xml.rels"/>
  <Override ContentType="application/vnd.openxmlformats-package.relationships+xml" PartName="/xl/drawings/_rels/drawing1.xml.rels"/>
  <Override ContentType="application/vnd.openxmlformats-officedocument.drawing+xml" PartName="/xl/drawings/drawing1.xml"/>
  <Override ContentType="image/png" PartName="/xl/media/image1.png"/>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package.relationships+xml" PartName="/xl/worksheets/_rels/sheet1.xml.rels"/>
  <Override ContentType="application/vnd.openxmlformats-package.relationships+xml" PartName="/xl/worksheets/_rels/sheet20.xml.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6"/>
  </bookViews>
  <sheets>
    <sheet name="Rating Algorithm" sheetId="1" state="visible" r:id="rId2"/>
    <sheet name="Algorithm Tests" sheetId="2" state="visible" r:id="rId3"/>
    <sheet name="Balance Quality" sheetId="3" state="visible" r:id="rId4"/>
    <sheet name="Balance Quality Tests" sheetId="4" state="visible" r:id="rId5"/>
    <sheet name="Balance Quality in Dynamic" sheetId="5" state="visible" r:id="rId6"/>
    <sheet name="Balance in Dynamic Tests" sheetId="6" state="visible" r:id="rId7"/>
    <sheet name="Bank Qualitative factors" sheetId="7" state="visible" r:id="rId8"/>
    <sheet name="Qualitat Factors Tests" sheetId="8" state="visible" r:id="rId9"/>
    <sheet name="Central Bank Req" sheetId="9" state="visible" r:id="rId10"/>
    <sheet name="Central Bank Req Tests" sheetId="10" state="visible" r:id="rId11"/>
    <sheet name="Rating Groups" sheetId="11" state="visible" r:id="rId12"/>
    <sheet name="Rating Groups Test" sheetId="12" state="visible" r:id="rId13"/>
    <sheet name="Limit" sheetId="13" state="visible" r:id="rId14"/>
    <sheet name="Limit Test" sheetId="14" state="visible" r:id="rId15"/>
    <sheet name="Max Limit" sheetId="15" state="visible" r:id="rId16"/>
    <sheet name="Set NonZero Values" sheetId="16" state="visible" r:id="rId17"/>
    <sheet name="SetNonZero Test" sheetId="17" state="visible" r:id="rId18"/>
    <sheet name="Domain" sheetId="18" state="visible" r:id="rId19"/>
    <sheet name="Vocabulary" sheetId="19" state="visible" r:id="rId20"/>
    <sheet name="Test Data" sheetId="20" state="visible" r:id="rId21"/>
  </sheets>
  <definedNames>
    <definedName function="false" hidden="false" name="Deductible" vbProcedure="false">vocabulary!#ref!</definedName>
    <definedName function="false" hidden="false" name="LimitOfLiability" vbProcedure="false">vocabulary!#ref!</definedName>
    <definedName function="false" hidden="false" name="RiskCredit" vbProcedure="false">vocabulary!#ref!</definedName>
    <definedName function="false" hidden="false" name="State" vbProcedure="false">vocabulary!#ref!</definedName>
    <definedName function="false" hidden="false" name="YearInClaims" vbProcedure="false">vocabulary!#ref!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<sst xmlns="http://schemas.openxmlformats.org/spreadsheetml/2006/main" count="1103" uniqueCount="706">
  <si>
    <t xml:space="preserve">www.commerzbank.com</t>
  </si>
  <si>
    <t xml:space="preserve">Bank Rating and Limit Calculation</t>
  </si>
  <si>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</si>
  <si>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r>
      <rPr>
        <sz val="10"/>
        <color rgb="FF4A452A"/>
        <rFont val="Palatino Linotype"/>
        <family val="1"/>
        <charset val="204"/>
      </rPr>
      <t xml:space="preserve">Spreadsheet SpreadsheetResult </t>
    </r>
    <r>
      <rPr>
        <b val="true"/>
        <sz val="14"/>
        <rFont val="Palatino Linotype"/>
        <family val="1"/>
        <charset val="204"/>
      </rPr>
      <t xml:space="preserve">BankRatingCalculation</t>
    </r>
    <r>
      <rPr>
        <sz val="10"/>
        <color rgb="FF4A452A"/>
        <rFont val="Palatino Linotype"/>
        <family val="1"/>
        <charset val="204"/>
      </rPr>
      <t xml:space="preserve"> (Bank bank)</t>
    </r>
  </si>
  <si>
    <t xml:space="preserve">properties</t>
  </si>
  <si>
    <t xml:space="preserve">description</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</si>
  <si>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</si>
  <si>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Step</t>
  </si>
  <si>
    <t xml:space="preserve">Description</t>
  </si>
  <si>
    <t xml:space="preserve">Value</t>
  </si>
  <si>
    <t xml:space="preserve">CheckCurrentFinancialData</t>
  </si>
  <si>
    <t xml:space="preserve">= SetNonZeroValues(currentFinancialData)</t>
  </si>
  <si>
    <t xml:space="preserve">Set Default Values'!A1</t>
  </si>
  <si>
    <t xml:space="preserve">CheckPreviousPeriodFinancialData</t>
  </si>
  <si>
    <t xml:space="preserve">= SetNonZeroValues(previousFinancialData)</t>
  </si>
  <si>
    <t xml:space="preserve">BalanceQualityIndexCalculation</t>
  </si>
  <si>
    <t xml:space="preserve">= BalanceQualityIndexCalculation(currentFinancialData)</t>
  </si>
  <si>
    <t xml:space="preserve">BalanceDynamicIndexCalculation</t>
  </si>
  <si>
    <r>
      <rPr>
        <sz val="10"/>
        <rFont val="Palatino Linotype"/>
        <family val="1"/>
        <charset val="204"/>
      </rPr>
      <t xml:space="preserve">Calculate Indices </t>
    </r>
    <r>
      <rPr>
        <b val="true"/>
        <sz val="12"/>
        <rFont val="Palatino Linotype"/>
        <family val="1"/>
        <charset val="204"/>
      </rPr>
      <t xml:space="preserve">B</t>
    </r>
    <r>
      <rPr>
        <sz val="10"/>
        <rFont val="Palatino Linotype"/>
        <family val="1"/>
        <charset val="204"/>
      </rPr>
      <t xml:space="preserve">, </t>
    </r>
    <r>
      <rPr>
        <b val="true"/>
        <sz val="12"/>
        <rFont val="Palatino Linotype"/>
        <family val="1"/>
        <charset val="204"/>
      </rPr>
      <t xml:space="preserve">B1</t>
    </r>
    <r>
      <rPr>
        <sz val="10"/>
        <rFont val="Palatino Linotype"/>
        <family val="1"/>
        <charset val="204"/>
      </rPr>
      <t xml:space="preserve">, </t>
    </r>
    <r>
      <rPr>
        <b val="true"/>
        <sz val="12"/>
        <rFont val="Palatino Linotype"/>
        <family val="1"/>
        <charset val="204"/>
      </rPr>
      <t xml:space="preserve">B2</t>
    </r>
    <r>
      <rPr>
        <sz val="10"/>
        <rFont val="Palatino Linotype"/>
        <family val="1"/>
        <charset val="204"/>
      </rPr>
      <t xml:space="preserve">, </t>
    </r>
    <r>
      <rPr>
        <b val="true"/>
        <sz val="12"/>
        <rFont val="Palatino Linotype"/>
        <family val="1"/>
        <charset val="204"/>
      </rPr>
      <t xml:space="preserve">B3</t>
    </r>
    <r>
      <rPr>
        <sz val="10"/>
        <rFont val="Palatino Linotype"/>
        <family val="1"/>
        <charset val="204"/>
      </rPr>
      <t xml:space="preserve"> accoding to Financial Data and Quality Indicators</t>
    </r>
  </si>
  <si>
    <t xml:space="preserve">= BalanceDynamicIndexCalculation(currentFinancialData, previousFinancialData)</t>
  </si>
  <si>
    <t xml:space="preserve">BankQualitativeIndexCalculation</t>
  </si>
  <si>
    <t xml:space="preserve">= BankQualitativeIndexCalculation(bank)</t>
  </si>
  <si>
    <t xml:space="preserve">IsAdequateNormativeIndexCalculation</t>
  </si>
  <si>
    <t xml:space="preserve">= IsAdequateNormativeIndexCalculation(bank)</t>
  </si>
  <si>
    <t xml:space="preserve">BankRating</t>
  </si>
  <si>
    <r>
      <rPr>
        <sz val="10"/>
        <rFont val="Palatino Linotype"/>
        <family val="1"/>
        <charset val="204"/>
      </rPr>
      <t xml:space="preserve">Bank Rating </t>
    </r>
    <r>
      <rPr>
        <b val="true"/>
        <sz val="12"/>
        <rFont val="Palatino Linotype"/>
        <family val="1"/>
        <charset val="204"/>
      </rPr>
      <t xml:space="preserve">R = B x B1 x B2 x B3</t>
    </r>
  </si>
  <si>
    <t xml:space="preserve">= round( $BalanceQualityIndexCalculation.$Value$BalanceQualityIndex * $BalanceDynamicIndexCalculation * $BankQualitativeIndexCalculation * $IsAdequateNormativeIndexCalculation, 2)</t>
  </si>
  <si>
    <t xml:space="preserve">BankRatingGroup</t>
  </si>
  <si>
    <t xml:space="preserve">Calculate Bank Rating Group</t>
  </si>
  <si>
    <t xml:space="preserve">= BankRatingGroup($BankRating)</t>
  </si>
  <si>
    <t xml:space="preserve">Rating Groups'!A1</t>
  </si>
  <si>
    <t xml:space="preserve">LimitIndex</t>
  </si>
  <si>
    <r>
      <rPr>
        <sz val="10"/>
        <rFont val="Palatino Linotype"/>
        <family val="1"/>
        <charset val="204"/>
      </rPr>
      <t xml:space="preserve">Calculate Limit Index </t>
    </r>
    <r>
      <rPr>
        <b val="true"/>
        <sz val="12"/>
        <rFont val="Palatino Linotype"/>
        <family val="1"/>
        <charset val="204"/>
      </rPr>
      <t xml:space="preserve">Kl</t>
    </r>
  </si>
  <si>
    <t xml:space="preserve">= BankLimitIndex(bank, $BankRatingGroup)</t>
  </si>
  <si>
    <t xml:space="preserve">Limit!A1</t>
  </si>
  <si>
    <t xml:space="preserve">Limit</t>
  </si>
  <si>
    <r>
      <rPr>
        <sz val="10"/>
        <rFont val="Palatino Linotype"/>
        <family val="1"/>
        <charset val="204"/>
      </rPr>
      <t xml:space="preserve">Max Limit which Bank is Allowed
</t>
    </r>
    <r>
      <rPr>
        <b val="true"/>
        <sz val="12"/>
        <rFont val="Palatino Linotype"/>
        <family val="1"/>
        <charset val="204"/>
      </rPr>
      <t xml:space="preserve">L = Kl x Lmax</t>
    </r>
  </si>
  <si>
    <t xml:space="preserve">= $LimitIndex * MaxLimit</t>
  </si>
  <si>
    <t xml:space="preserve">Max Limit'!A1</t>
  </si>
  <si>
    <r>
      <rPr>
        <sz val="10"/>
        <color rgb="FF4A452A"/>
        <rFont val="Palatino Linotype"/>
        <family val="1"/>
        <charset val="204"/>
      </rPr>
      <t xml:space="preserve">Spreadsheet SpreadsheetResult </t>
    </r>
    <r>
      <rPr>
        <b val="true"/>
        <sz val="14"/>
        <rFont val="Palatino Linotype"/>
        <family val="1"/>
        <charset val="204"/>
      </rPr>
      <t xml:space="preserve">BalanceQualityIndexCalculation</t>
    </r>
    <r>
      <rPr>
        <sz val="10"/>
        <color rgb="FF4A452A"/>
        <rFont val="Palatino Linotype"/>
        <family val="1"/>
        <charset val="204"/>
      </rPr>
      <t xml:space="preserve"> (FinancialData currentFinancialData)</t>
    </r>
  </si>
  <si>
    <t xml:space="preserve">Balance Quality'!A1</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</si>
  <si>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</si>
  <si>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 xml:space="preserve">Calculate max limit and bank rating according balancesheet data and qualitative indicators???</t>
  </si>
  <si>
    <t xml:space="preserve">CapitalAdequacy</t>
  </si>
  <si>
    <t xml:space="preserve">Calculate Capital Adequacy (%)</t>
  </si>
  <si>
    <t xml:space="preserve">= round(capital / totalAssets * 100, 1)</t>
  </si>
  <si>
    <t xml:space="preserve">CapitalAdequacyScore</t>
  </si>
  <si>
    <r>
      <rPr>
        <sz val="10"/>
        <rFont val="Palatino Linotype"/>
        <family val="1"/>
        <charset val="204"/>
      </rPr>
      <t xml:space="preserve">Score </t>
    </r>
    <r>
      <rPr>
        <b val="true"/>
        <sz val="10"/>
        <rFont val="Palatino Linotype"/>
        <family val="1"/>
        <charset val="204"/>
      </rPr>
      <t xml:space="preserve">Q1</t>
    </r>
  </si>
  <si>
    <t xml:space="preserve">= CapitalAdequacyScore($CapitalAdequacy)</t>
  </si>
  <si>
    <t xml:space="preserve">ClaimsOnCustomerRatio</t>
  </si>
  <si>
    <t xml:space="preserve">Calculate Claims on  Customer Ratio in Assets (%)</t>
  </si>
  <si>
    <t xml:space="preserve">= round(claimsOnCustomers / totalAssets * 100, 1)</t>
  </si>
  <si>
    <t xml:space="preserve">ClaimsOnCustomerRatioScore</t>
  </si>
  <si>
    <r>
      <rPr>
        <sz val="10"/>
        <rFont val="Palatino Linotype"/>
        <family val="1"/>
        <charset val="204"/>
      </rPr>
      <t xml:space="preserve">Score </t>
    </r>
    <r>
      <rPr>
        <b val="true"/>
        <sz val="10"/>
        <rFont val="Palatino Linotype"/>
        <family val="1"/>
        <charset val="204"/>
      </rPr>
      <t xml:space="preserve">Q2</t>
    </r>
  </si>
  <si>
    <t xml:space="preserve">= ClaimsOnCustomerRatioScore($ClaimsOnCustomerRatio)</t>
  </si>
  <si>
    <t xml:space="preserve">CreditPortfolioQuality</t>
  </si>
  <si>
    <t xml:space="preserve">Calculate Quality of Credit Portfolio (%)</t>
  </si>
  <si>
    <t xml:space="preserve">= round(loanLossProvisionsForClaimsOnCustomers / claimsOnCustomers * 100, 1)</t>
  </si>
  <si>
    <t xml:space="preserve">CreditPortfolioQualityScore</t>
  </si>
  <si>
    <r>
      <rPr>
        <sz val="10"/>
        <rFont val="Palatino Linotype"/>
        <family val="1"/>
        <charset val="204"/>
      </rPr>
      <t xml:space="preserve">Score </t>
    </r>
    <r>
      <rPr>
        <b val="true"/>
        <sz val="10"/>
        <rFont val="Palatino Linotype"/>
        <family val="1"/>
        <charset val="204"/>
      </rPr>
      <t xml:space="preserve">Q3</t>
    </r>
  </si>
  <si>
    <t xml:space="preserve">= CreditPortfolioQualityScore($CreditPortfolioQuality)</t>
  </si>
  <si>
    <t xml:space="preserve">SecuredByPropertyChargesClaimsRatio</t>
  </si>
  <si>
    <t xml:space="preserve">Calculate Secured by Property Charges Claims Ratio (%)</t>
  </si>
  <si>
    <t xml:space="preserve">= round(claimsSecuredByPropertyCharges / claimsOnCustomers * 100, 1)</t>
  </si>
  <si>
    <t xml:space="preserve">SecuredByPropertyChargesClaimsRatioScore</t>
  </si>
  <si>
    <r>
      <rPr>
        <sz val="10"/>
        <rFont val="Palatino Linotype"/>
        <family val="1"/>
        <charset val="204"/>
      </rPr>
      <t xml:space="preserve">Score </t>
    </r>
    <r>
      <rPr>
        <b val="true"/>
        <sz val="10"/>
        <rFont val="Palatino Linotype"/>
        <family val="1"/>
        <charset val="204"/>
      </rPr>
      <t xml:space="preserve">Q4</t>
    </r>
  </si>
  <si>
    <t xml:space="preserve">= SecuredByPropertyChargesClaimsRatioScore ($SecuredByPropertyChargesClaimsRatio)</t>
  </si>
  <si>
    <t xml:space="preserve">QuickRatio</t>
  </si>
  <si>
    <t xml:space="preserve">Calculate Quick Ratio (%)</t>
  </si>
  <si>
    <t xml:space="preserve">= round(claimsOnDemand / liabilitiesOnDemand * 100, 1)</t>
  </si>
  <si>
    <t xml:space="preserve">QuickRatioScore</t>
  </si>
  <si>
    <r>
      <rPr>
        <sz val="10"/>
        <rFont val="Palatino Linotype"/>
        <family val="1"/>
        <charset val="204"/>
      </rPr>
      <t xml:space="preserve">Score </t>
    </r>
    <r>
      <rPr>
        <b val="true"/>
        <sz val="10"/>
        <rFont val="Palatino Linotype"/>
        <family val="1"/>
        <charset val="204"/>
      </rPr>
      <t xml:space="preserve">Q5</t>
    </r>
  </si>
  <si>
    <t xml:space="preserve">= QuickRatioScore($QuickRatio)</t>
  </si>
  <si>
    <t xml:space="preserve">LiquidityRatio</t>
  </si>
  <si>
    <t xml:space="preserve">Calculate Liquidity Ratio (%)</t>
  </si>
  <si>
    <t xml:space="preserve">= round(claimsUpTo3Months / liabilities * 100, 1)</t>
  </si>
  <si>
    <t xml:space="preserve">LiquidityRatioScore</t>
  </si>
  <si>
    <r>
      <rPr>
        <sz val="10"/>
        <rFont val="Palatino Linotype"/>
        <family val="1"/>
        <charset val="204"/>
      </rPr>
      <t xml:space="preserve">Score </t>
    </r>
    <r>
      <rPr>
        <b val="true"/>
        <sz val="10"/>
        <rFont val="Palatino Linotype"/>
        <family val="1"/>
        <charset val="204"/>
      </rPr>
      <t xml:space="preserve">Q6</t>
    </r>
  </si>
  <si>
    <t xml:space="preserve">= LiquidityRatioScore($LiquidityRatio)</t>
  </si>
  <si>
    <t xml:space="preserve">HighLiquidityRatio</t>
  </si>
  <si>
    <t xml:space="preserve">Calculate High Liquidity Ratio (%)</t>
  </si>
  <si>
    <t xml:space="preserve">= round(claimsOnDemand / totalAssets * 100, 1)</t>
  </si>
  <si>
    <t xml:space="preserve">HighLiquidityRatioScore</t>
  </si>
  <si>
    <r>
      <rPr>
        <sz val="10"/>
        <rFont val="Palatino Linotype"/>
        <family val="1"/>
        <charset val="204"/>
      </rPr>
      <t xml:space="preserve">Score</t>
    </r>
    <r>
      <rPr>
        <b val="true"/>
        <sz val="10"/>
        <rFont val="Palatino Linotype"/>
        <family val="1"/>
        <charset val="204"/>
      </rPr>
      <t xml:space="preserve"> Q7</t>
    </r>
  </si>
  <si>
    <t xml:space="preserve">= HighLiquidityRatioScore($HighLiquidityRatio)</t>
  </si>
  <si>
    <t xml:space="preserve">NetMoneyMarketLiabilities</t>
  </si>
  <si>
    <t xml:space="preserve">Calculate Net Liabilities at Money Market (%)</t>
  </si>
  <si>
    <t xml:space="preserve">= round((liabilitiesToBanks - claimsOnBanks) / totalAssets * 100, 1)</t>
  </si>
  <si>
    <t xml:space="preserve">NetMoneyMarketLiabilitiesScore</t>
  </si>
  <si>
    <r>
      <rPr>
        <sz val="10"/>
        <rFont val="Palatino Linotype"/>
        <family val="1"/>
        <charset val="204"/>
      </rPr>
      <t xml:space="preserve">Score </t>
    </r>
    <r>
      <rPr>
        <b val="true"/>
        <sz val="10"/>
        <rFont val="Palatino Linotype"/>
        <family val="1"/>
        <charset val="204"/>
      </rPr>
      <t xml:space="preserve">Q8</t>
    </r>
  </si>
  <si>
    <t xml:space="preserve">= NetMoneyMarketLiabilitiesScore($NetMoneyMarketLiabilities)</t>
  </si>
  <si>
    <t xml:space="preserve">LiabilitiesToCustomersOnDemandRatio</t>
  </si>
  <si>
    <t xml:space="preserve">Calculate Liabilities to Customers on Demand Ratio (%)</t>
  </si>
  <si>
    <t xml:space="preserve">= round(liabilitiesToCustomersOnDemand / liabilities * 100, 1)</t>
  </si>
  <si>
    <t xml:space="preserve">LiabilitiesToCustomersOnDemandRatioScore</t>
  </si>
  <si>
    <r>
      <rPr>
        <sz val="10"/>
        <rFont val="Palatino Linotype"/>
        <family val="1"/>
        <charset val="204"/>
      </rPr>
      <t xml:space="preserve">Score </t>
    </r>
    <r>
      <rPr>
        <b val="true"/>
        <sz val="10"/>
        <rFont val="Palatino Linotype"/>
        <family val="1"/>
        <charset val="204"/>
      </rPr>
      <t xml:space="preserve">Q9</t>
    </r>
  </si>
  <si>
    <t xml:space="preserve">= LiabilitiesToCustomersOnDemandRatioScore ($LiabilitiesToCustomersOnDemandRatio)</t>
  </si>
  <si>
    <t xml:space="preserve">OtherAssetsRatio</t>
  </si>
  <si>
    <t xml:space="preserve">Calculate Other Assets Ratio (%)</t>
  </si>
  <si>
    <t xml:space="preserve">= round(otherAssets / totalAssets * 100, 1)</t>
  </si>
  <si>
    <t xml:space="preserve">OtherAssetsRatioScore</t>
  </si>
  <si>
    <r>
      <rPr>
        <sz val="10"/>
        <rFont val="Palatino Linotype"/>
        <family val="1"/>
        <charset val="204"/>
      </rPr>
      <t xml:space="preserve">Score </t>
    </r>
    <r>
      <rPr>
        <b val="true"/>
        <sz val="10"/>
        <rFont val="Palatino Linotype"/>
        <family val="1"/>
        <charset val="204"/>
      </rPr>
      <t xml:space="preserve">Q10</t>
    </r>
  </si>
  <si>
    <t xml:space="preserve">= OtherAssetsRatioScore($OtherAssetsRatio)</t>
  </si>
  <si>
    <t xml:space="preserve">BalanceQualityIndex</t>
  </si>
  <si>
    <r>
      <rPr>
        <sz val="10"/>
        <rFont val="Palatino Linotype"/>
        <family val="1"/>
        <charset val="204"/>
      </rPr>
      <t xml:space="preserve">Balance Quality Index 
</t>
    </r>
    <r>
      <rPr>
        <b val="true"/>
        <sz val="12"/>
        <rFont val="Palatino Linotype"/>
        <family val="1"/>
        <charset val="204"/>
      </rPr>
      <t xml:space="preserve">B = Q1 x Q2 x Q3 x Q4 x Q5 x Q6 x Q7 x x Q8 x Q9 x Q10</t>
    </r>
  </si>
  <si>
    <t xml:space="preserve">=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</si>
  <si>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r>
      <rPr>
        <sz val="10"/>
        <color rgb="FF4A452A"/>
        <rFont val="Palatino Linotype"/>
        <family val="1"/>
        <charset val="204"/>
      </rPr>
      <t xml:space="preserve">Spreadsheet Double</t>
    </r>
    <r>
      <rPr>
        <sz val="10"/>
        <rFont val="Palatino Linotype"/>
        <family val="1"/>
        <charset val="204"/>
      </rPr>
      <t xml:space="preserve"> </t>
    </r>
    <r>
      <rPr>
        <b val="true"/>
        <sz val="14"/>
        <rFont val="Palatino Linotype"/>
        <family val="1"/>
        <charset val="204"/>
      </rPr>
      <t xml:space="preserve">BalanceDynamicIndexCalculation</t>
    </r>
    <r>
      <rPr>
        <sz val="10"/>
        <rFont val="Palatino Linotype"/>
        <family val="1"/>
        <charset val="204"/>
      </rPr>
      <t xml:space="preserve"> </t>
    </r>
    <r>
      <rPr>
        <sz val="10"/>
        <color rgb="FF4A452A"/>
        <rFont val="Palatino Linotype"/>
        <family val="1"/>
        <charset val="204"/>
      </rPr>
      <t xml:space="preserve">(FinancialData currentFinancialData, FinancialData previousFinancialData)</t>
    </r>
  </si>
  <si>
    <t xml:space="preserve">Balance Quality in Dynamic'!A1</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</si>
  <si>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</si>
  <si>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CapitalDynamic</t>
  </si>
  <si>
    <t xml:space="preserve">Calculate Capital Dynamic (%)</t>
  </si>
  <si>
    <t xml:space="preserve">= currentFinancialData.capital / previousFinancialData.capital * 100</t>
  </si>
  <si>
    <t xml:space="preserve">CapitalDynamicScore</t>
  </si>
  <si>
    <r>
      <rPr>
        <sz val="10"/>
        <rFont val="Palatino Linotype"/>
        <family val="1"/>
        <charset val="204"/>
      </rPr>
      <t xml:space="preserve">Capital Dynamic Score </t>
    </r>
    <r>
      <rPr>
        <b val="true"/>
        <sz val="10"/>
        <rFont val="Palatino Linotype"/>
        <family val="1"/>
        <charset val="204"/>
      </rPr>
      <t xml:space="preserve">D1</t>
    </r>
  </si>
  <si>
    <t xml:space="preserve">= CapitalDynamicScore($CapitalDynamic)</t>
  </si>
  <si>
    <t xml:space="preserve">QuickLiquidityDynamic</t>
  </si>
  <si>
    <t xml:space="preserve">Calculate Quick Liquidity Dynamic (%)</t>
  </si>
  <si>
    <t xml:space="preserve">= currentFinancialData.claimsOnDemand * previousFinancialData.liabilitiesOnDemand / (previousFinancialData.claimsOnDemand * currentFinancialData.liabilitiesOnDemand) * 100</t>
  </si>
  <si>
    <t xml:space="preserve">QuickLiquidityDynamicScore</t>
  </si>
  <si>
    <r>
      <rPr>
        <sz val="10"/>
        <rFont val="Palatino Linotype"/>
        <family val="1"/>
        <charset val="204"/>
      </rPr>
      <t xml:space="preserve">Quick Liquidity Dynamic Score </t>
    </r>
    <r>
      <rPr>
        <b val="true"/>
        <sz val="10"/>
        <rFont val="Palatino Linotype"/>
        <family val="1"/>
        <charset val="204"/>
      </rPr>
      <t xml:space="preserve">D2</t>
    </r>
  </si>
  <si>
    <t xml:space="preserve">= LiquidityDynamicScore($QuickLiquidityDynamic)</t>
  </si>
  <si>
    <t xml:space="preserve">LiquidityDynamic</t>
  </si>
  <si>
    <t xml:space="preserve">Calculate Liquidity Dynamic (%)</t>
  </si>
  <si>
    <t xml:space="preserve">= currentFinancialData.claimsUpTo3Months * previousFinancialData.liabilities / (previousFinancialData.claimsUpTo3Months * currentFinancialData.liabilities) * 100</t>
  </si>
  <si>
    <t xml:space="preserve">LiquidityDynamicScore</t>
  </si>
  <si>
    <r>
      <rPr>
        <sz val="10"/>
        <rFont val="Palatino Linotype"/>
        <family val="1"/>
        <charset val="204"/>
      </rPr>
      <t xml:space="preserve">Liquidity Dynamic Score </t>
    </r>
    <r>
      <rPr>
        <b val="true"/>
        <sz val="10"/>
        <rFont val="Palatino Linotype"/>
        <family val="1"/>
        <charset val="204"/>
      </rPr>
      <t xml:space="preserve">D3</t>
    </r>
  </si>
  <si>
    <t xml:space="preserve">= LiquidityDynamicScore($LiquidityDynamic)</t>
  </si>
  <si>
    <t xml:space="preserve">ProfitDynamic</t>
  </si>
  <si>
    <t xml:space="preserve">Calculate Profit Dynamic (%)</t>
  </si>
  <si>
    <t xml:space="preserve">= currentFinancialData.consolidatedProfit / previousFinancialData.consolidatedProfit * 100</t>
  </si>
  <si>
    <t xml:space="preserve">ProfitDynamicScore</t>
  </si>
  <si>
    <r>
      <rPr>
        <sz val="10"/>
        <rFont val="Palatino Linotype"/>
        <family val="1"/>
        <charset val="204"/>
      </rPr>
      <t xml:space="preserve">Profit Dynamic Score </t>
    </r>
    <r>
      <rPr>
        <b val="true"/>
        <sz val="10"/>
        <rFont val="Palatino Linotype"/>
        <family val="1"/>
        <charset val="204"/>
      </rPr>
      <t xml:space="preserve">D4</t>
    </r>
  </si>
  <si>
    <t xml:space="preserve">= ProfitDynamicScore($ProfitDynamic, currentFinancialData.consolidatedProfit)</t>
  </si>
  <si>
    <t xml:space="preserve">LiabilitiesToCustomersDynamic</t>
  </si>
  <si>
    <t xml:space="preserve">Calculate Liabilities to Customers Dynamic (%)</t>
  </si>
  <si>
    <t xml:space="preserve">= currentFinancialData.liabilitiesToCustomers / previousFinancialData.liabilitiesToCustomers * 100</t>
  </si>
  <si>
    <t xml:space="preserve">LiabilitiesToCustomersDynamicScore</t>
  </si>
  <si>
    <r>
      <rPr>
        <sz val="10"/>
        <rFont val="Palatino Linotype"/>
        <family val="1"/>
        <charset val="204"/>
      </rPr>
      <t xml:space="preserve">Liabilities to Customers Dynamic Score </t>
    </r>
    <r>
      <rPr>
        <b val="true"/>
        <sz val="10"/>
        <rFont val="Palatino Linotype"/>
        <family val="1"/>
        <charset val="204"/>
      </rPr>
      <t xml:space="preserve">D5</t>
    </r>
  </si>
  <si>
    <t xml:space="preserve">= LiabilitiesToCustomersDynamicScore($LiabilitiesToCustomersDynamic)</t>
  </si>
  <si>
    <t xml:space="preserve">BalanceDynamicIndex</t>
  </si>
  <si>
    <r>
      <rPr>
        <sz val="10"/>
        <rFont val="Palatino Linotype"/>
        <family val="1"/>
        <charset val="204"/>
      </rPr>
      <t xml:space="preserve">Balance Dynamic Index
</t>
    </r>
    <r>
      <rPr>
        <b val="true"/>
        <sz val="12"/>
        <rFont val="Palatino Linotype"/>
        <family val="1"/>
        <charset val="204"/>
      </rPr>
      <t xml:space="preserve">B1 = (D1 + D2 + D3 + D4 + D5) / 5</t>
    </r>
  </si>
  <si>
    <t xml:space="preserve">= round(($CapitalDynamicScore + $QuickLiquidityDynamicScore + $LiquidityDynamicScore + $ProfitDynamicScore + $LiabilitiesToCustomersDynamicScore ) / 5, 2)</t>
  </si>
  <si>
    <t xml:space="preserve">RETURN</t>
  </si>
  <si>
    <t xml:space="preserve">= $BalanceDynamicIndex</t>
  </si>
  <si>
    <r>
      <rPr>
        <sz val="10"/>
        <color rgb="FF4A452A"/>
        <rFont val="Palatino Linotype"/>
        <family val="1"/>
        <charset val="204"/>
      </rPr>
      <t xml:space="preserve">Spreadsheet Double</t>
    </r>
    <r>
      <rPr>
        <sz val="10"/>
        <rFont val="Palatino Linotype"/>
        <family val="1"/>
        <charset val="204"/>
      </rPr>
      <t xml:space="preserve"> </t>
    </r>
    <r>
      <rPr>
        <b val="true"/>
        <sz val="14"/>
        <rFont val="Palatino Linotype"/>
        <family val="1"/>
        <charset val="204"/>
      </rPr>
      <t xml:space="preserve">BankQualitativeIndexCalculation</t>
    </r>
    <r>
      <rPr>
        <sz val="10"/>
        <rFont val="Palatino Linotype"/>
        <family val="1"/>
        <charset val="204"/>
      </rPr>
      <t xml:space="preserve"> </t>
    </r>
    <r>
      <rPr>
        <sz val="10"/>
        <color rgb="FF4A452A"/>
        <rFont val="Palatino Linotype"/>
        <family val="1"/>
        <charset val="204"/>
      </rPr>
      <t xml:space="preserve">(Bank bank)</t>
    </r>
  </si>
  <si>
    <t xml:space="preserve">Bank Qualitative factors'!A1</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</si>
  <si>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</si>
  <si>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LossesInThisYearScore</t>
  </si>
  <si>
    <r>
      <rPr>
        <sz val="10"/>
        <rFont val="Palatino Linotype"/>
        <family val="1"/>
        <charset val="204"/>
      </rPr>
      <t xml:space="preserve">Calculate Qualitative Indices </t>
    </r>
    <r>
      <rPr>
        <b val="true"/>
        <sz val="10"/>
        <rFont val="Palatino Linotype"/>
        <family val="1"/>
        <charset val="204"/>
      </rPr>
      <t xml:space="preserve">I1, I2, …, I6</t>
    </r>
  </si>
  <si>
    <t xml:space="preserve">= LossesInThisYearScore(qualityIndicators.lossesInThisYear)</t>
  </si>
  <si>
    <t xml:space="preserve">NegativeHistoryRelationsScore</t>
  </si>
  <si>
    <t xml:space="preserve">= NegativeHistoryRelationsScore(qualityIndicators.negativeHistoryRelations)</t>
  </si>
  <si>
    <t xml:space="preserve">NegativeMassMediaScore</t>
  </si>
  <si>
    <t xml:space="preserve">= NegativeMassMediaScore(qualityIndicators.negativeMassMedia)</t>
  </si>
  <si>
    <t xml:space="preserve">NegativeInfoShareHoldersOrManagementScore</t>
  </si>
  <si>
    <t xml:space="preserve">= NegativeInfoShareHoldersOrManagementScore (qualityIndicators.negativeInfoShareHoldersOrManagement)</t>
  </si>
  <si>
    <t xml:space="preserve">DowngradesOfBankRatingScore</t>
  </si>
  <si>
    <t xml:space="preserve">= DowngradesOfBankRatingScore(qualityIndicators.downgradesOfBankRating)</t>
  </si>
  <si>
    <t xml:space="preserve">TotalBalanceScore</t>
  </si>
  <si>
    <t xml:space="preserve">= TotalBalanceScore(currentFinancialData.totalAssets, countryCode)</t>
  </si>
  <si>
    <t xml:space="preserve">BankQualitativeIndex</t>
  </si>
  <si>
    <r>
      <rPr>
        <sz val="10"/>
        <rFont val="Palatino Linotype"/>
        <family val="1"/>
        <charset val="204"/>
      </rPr>
      <t xml:space="preserve">Bank Qualitative Index
</t>
    </r>
    <r>
      <rPr>
        <b val="true"/>
        <sz val="12"/>
        <rFont val="Palatino Linotype"/>
        <family val="1"/>
        <charset val="204"/>
      </rPr>
      <t xml:space="preserve">B2 = min {I1, I2, …, I6}</t>
    </r>
  </si>
  <si>
    <t xml:space="preserve">= min($LossesInThisYearScore:$TotalBalanceScore)</t>
  </si>
  <si>
    <t xml:space="preserve">= $BankQualitativeIndex</t>
  </si>
  <si>
    <r>
      <rPr>
        <sz val="10"/>
        <color rgb="FF4A452A"/>
        <rFont val="Palatino Linotype"/>
        <family val="1"/>
        <charset val="204"/>
      </rPr>
      <t xml:space="preserve">Spreadsheet Double</t>
    </r>
    <r>
      <rPr>
        <sz val="10"/>
        <rFont val="Palatino Linotype"/>
        <family val="1"/>
        <charset val="204"/>
      </rPr>
      <t xml:space="preserve"> </t>
    </r>
    <r>
      <rPr>
        <b val="true"/>
        <sz val="14"/>
        <rFont val="Palatino Linotype"/>
        <family val="1"/>
        <charset val="204"/>
      </rPr>
      <t xml:space="preserve">IsAdequateNormativeIndexCalculation</t>
    </r>
    <r>
      <rPr>
        <sz val="10"/>
        <rFont val="Palatino Linotype"/>
        <family val="1"/>
        <charset val="204"/>
      </rPr>
      <t xml:space="preserve"> </t>
    </r>
    <r>
      <rPr>
        <sz val="10"/>
        <color rgb="FF4A452A"/>
        <rFont val="Palatino Linotype"/>
        <family val="1"/>
        <charset val="204"/>
      </rPr>
      <t xml:space="preserve">(Bank bank)</t>
    </r>
  </si>
  <si>
    <t xml:space="preserve">Central Bank Req'!A1</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</si>
  <si>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</si>
  <si>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 xml:space="preserve">IsAdequateCoreCapitalRatioScore</t>
  </si>
  <si>
    <r>
      <rPr>
        <sz val="10"/>
        <rFont val="Palatino Linotype"/>
        <family val="1"/>
        <charset val="204"/>
      </rPr>
      <t xml:space="preserve">Calculate Qualitative Indices </t>
    </r>
    <r>
      <rPr>
        <b val="true"/>
        <sz val="10"/>
        <rFont val="Palatino Linotype"/>
        <family val="1"/>
        <charset val="204"/>
      </rPr>
      <t xml:space="preserve">N1, N2, N3, N4</t>
    </r>
  </si>
  <si>
    <t xml:space="preserve">= IsAdequateCoreCapitalRatioScore(qualityIndicators.isAdequateCoreCapitalRatio)</t>
  </si>
  <si>
    <t xml:space="preserve">IsAdequateLiquidityRatioScore</t>
  </si>
  <si>
    <t xml:space="preserve">= IsAdequateLiquidityRatioScore(qualityIndicators.isAdequateLiquidityRatio)</t>
  </si>
  <si>
    <t xml:space="preserve">IsAdequateMaxCreditRiskScore</t>
  </si>
  <si>
    <t xml:space="preserve">= IsAdequateMaxCreditRiskScore(countryCode, qualityIndicators.isAdequateMaxCreditRisk)</t>
  </si>
  <si>
    <t xml:space="preserve">EquityScore</t>
  </si>
  <si>
    <t xml:space="preserve">= EquityScore(countryCode, currentFinancialData.equity)</t>
  </si>
  <si>
    <t xml:space="preserve">IsAdequateNormativeIndex</t>
  </si>
  <si>
    <r>
      <rPr>
        <sz val="10"/>
        <rFont val="Palatino Linotype"/>
        <family val="1"/>
        <charset val="204"/>
      </rPr>
      <t xml:space="preserve">Calculate IsAdequateNormative Index
</t>
    </r>
    <r>
      <rPr>
        <b val="true"/>
        <sz val="12"/>
        <rFont val="Palatino Linotype"/>
        <family val="1"/>
        <charset val="204"/>
      </rPr>
      <t xml:space="preserve">B3 = min {N1, N2, N3, N4}</t>
    </r>
  </si>
  <si>
    <t xml:space="preserve">= min($IsAdequateCoreCapitalRatioScore:$EquityScore)</t>
  </si>
  <si>
    <t xml:space="preserve">= $IsAdequateNormativeIndex</t>
  </si>
  <si>
    <t xml:space="preserve">Tests for "Rating Algorithm"</t>
  </si>
  <si>
    <t xml:space="preserve">Test  BankRatingCalculation BankRatingTest</t>
  </si>
  <si>
    <t xml:space="preserve">bank</t>
  </si>
  <si>
    <t xml:space="preserve">_res_.$Value$BankRatingGroup</t>
  </si>
  <si>
    <t xml:space="preserve">_res_.$Value$Limit</t>
  </si>
  <si>
    <t xml:space="preserve">&gt;bankData</t>
  </si>
  <si>
    <t xml:space="preserve">bank ID</t>
  </si>
  <si>
    <t xml:space="preserve">Bank Rating Group</t>
  </si>
  <si>
    <t xml:space="preserve">commerz</t>
  </si>
  <si>
    <t xml:space="preserve">R3</t>
  </si>
  <si>
    <t xml:space="preserve">Test BalanceQualityIndexCalculation QualityIndexTest</t>
  </si>
  <si>
    <t xml:space="preserve">currentFinancialData</t>
  </si>
  <si>
    <t xml:space="preserve">_res_.$Value$BalanceQualityIndex</t>
  </si>
  <si>
    <t xml:space="preserve">&gt;bankFinancialData</t>
  </si>
  <si>
    <t xml:space="preserve">rowID Financial Data </t>
  </si>
  <si>
    <t xml:space="preserve">Balance Quality Index</t>
  </si>
  <si>
    <t xml:space="preserve">Test BalanceDynamicIndexCalculation DynamicIndexTest</t>
  </si>
  <si>
    <t xml:space="preserve"> previousFinancialData</t>
  </si>
  <si>
    <t xml:space="preserve">_res_</t>
  </si>
  <si>
    <t xml:space="preserve">rowID Financial Data of Report Period</t>
  </si>
  <si>
    <t xml:space="preserve">rowID Financial Data of Previous Period</t>
  </si>
  <si>
    <t xml:space="preserve">Balance Dynamic Index</t>
  </si>
  <si>
    <t xml:space="preserve">Test BankQualitativeIndexCalculation QualitativeIndexTest</t>
  </si>
  <si>
    <t xml:space="preserve">Bank Qualitative Index</t>
  </si>
  <si>
    <t xml:space="preserve">Test  IsAdequateNormativeIndexCalculation IsAdequateNormativeIndexTest</t>
  </si>
  <si>
    <t xml:space="preserve">IsAdequate Normative Index Calculation </t>
  </si>
  <si>
    <t xml:space="preserve">Rating Algorithm'!A26</t>
  </si>
  <si>
    <t xml:space="preserve">Balance Quality</t>
  </si>
  <si>
    <t xml:space="preserve">Use the following tables to determine scores of 10 finantial indicators (Q1, Q2, …, Q10) applied for calculating the Balance Quality Index B.  The scores are to assess the quality of the bank-counterparty's balance sheet.</t>
  </si>
  <si>
    <r>
      <rPr>
        <sz val="10"/>
        <color rgb="FF4A452A"/>
        <rFont val="Palatino Linotype"/>
        <family val="1"/>
        <charset val="204"/>
      </rPr>
      <t xml:space="preserve">SimpleRules Double </t>
    </r>
    <r>
      <rPr>
        <b val="true"/>
        <sz val="12"/>
        <rFont val="Palatino Linotype"/>
        <family val="1"/>
        <charset val="204"/>
      </rPr>
      <t xml:space="preserve">CapitalAdequacyScore </t>
    </r>
    <r>
      <rPr>
        <sz val="10"/>
        <color rgb="FF4A452A"/>
        <rFont val="Palatino Linotype"/>
        <family val="1"/>
        <charset val="204"/>
      </rPr>
      <t xml:space="preserve">(Double capitalAdequacy)</t>
    </r>
  </si>
  <si>
    <t xml:space="preserve">Capital Adequacy (%)</t>
  </si>
  <si>
    <t xml:space="preserve">Capital Adequacy Score</t>
  </si>
  <si>
    <t xml:space="preserve">&lt;=3</t>
  </si>
  <si>
    <t xml:space="preserve">(3 .. 5]</t>
  </si>
  <si>
    <t xml:space="preserve">(5 .. 9]</t>
  </si>
  <si>
    <t xml:space="preserve">(9 .. 11]</t>
  </si>
  <si>
    <t xml:space="preserve">(11 .. 15]</t>
  </si>
  <si>
    <t xml:space="preserve">&gt; 51</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</si>
  <si>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ClaimsOnCustomerRatioScore</t>
    </r>
    <r>
      <rPr>
        <b val="true"/>
        <sz val="12"/>
        <color rgb="FF4A452A"/>
        <rFont val="Palatino Linotype"/>
        <family val="1"/>
        <charset val="204"/>
      </rPr>
      <t xml:space="preserve"> </t>
    </r>
    <r>
      <rPr>
        <sz val="10"/>
        <color rgb="FF4A452A"/>
        <rFont val="Palatino Linotype"/>
        <family val="1"/>
        <charset val="204"/>
      </rPr>
      <t xml:space="preserve">(Double claimsOnCustomerRatio)</t>
    </r>
  </si>
  <si>
    <r>
      <rPr>
        <b val="true"/>
        <sz val="12"/>
        <color rgb="FFFFFFFF"/>
        <rFont val="Palatino Linotype"/>
        <family val="1"/>
        <charset val="1"/>
      </rPr>
      <t xml:space="preserve">Claims on Customer</t>
    </r>
    <r>
      <rPr>
        <b val="true"/>
        <sz val="12"/>
        <rFont val="Palatino Linotype"/>
        <family val="1"/>
        <charset val="204"/>
      </rPr>
      <t xml:space="preserve"> </t>
    </r>
    <r>
      <rPr>
        <b val="true"/>
        <sz val="12"/>
        <color rgb="FFFFFFFF"/>
        <rFont val="Palatino Linotype"/>
        <family val="1"/>
        <charset val="204"/>
      </rPr>
      <t xml:space="preserve">Ratio (%)</t>
    </r>
  </si>
  <si>
    <t xml:space="preserve">Claims on Customer Score</t>
  </si>
  <si>
    <t xml:space="preserve">&lt;=10</t>
  </si>
  <si>
    <t xml:space="preserve">(10 .. 40]</t>
  </si>
  <si>
    <t xml:space="preserve">(40 .. 70]</t>
  </si>
  <si>
    <t xml:space="preserve">(70 .. 80]</t>
  </si>
  <si>
    <t xml:space="preserve">&gt; 80</t>
  </si>
  <si>
    <r>
      <rPr>
        <sz val="10"/>
        <color rgb="FF4A452A"/>
        <rFont val="Palatino Linotype"/>
        <family val="1"/>
        <charset val="204"/>
      </rPr>
      <t xml:space="preserve">SimpleRules Double </t>
    </r>
    <r>
      <rPr>
        <b val="true"/>
        <sz val="12"/>
        <rFont val="Palatino Linotype"/>
        <family val="1"/>
        <charset val="204"/>
      </rPr>
      <t xml:space="preserve">CreditPortfolioQualityScore</t>
    </r>
    <r>
      <rPr>
        <b val="true"/>
        <sz val="12"/>
        <color rgb="FF4A452A"/>
        <rFont val="Palatino Linotype"/>
        <family val="1"/>
        <charset val="204"/>
      </rPr>
      <t xml:space="preserve"> </t>
    </r>
    <r>
      <rPr>
        <sz val="10"/>
        <color rgb="FF4A452A"/>
        <rFont val="Palatino Linotype"/>
        <family val="1"/>
        <charset val="204"/>
      </rPr>
      <t xml:space="preserve">(Double creditPortfolioQuality)</t>
    </r>
  </si>
  <si>
    <t xml:space="preserve">Credit Portfolio Quality (%)</t>
  </si>
  <si>
    <t xml:space="preserve">Credit Portfolio Score</t>
  </si>
  <si>
    <t xml:space="preserve">(3 .. 4]</t>
  </si>
  <si>
    <t xml:space="preserve">(4 .. 5]</t>
  </si>
  <si>
    <t xml:space="preserve">(5 .. 6]</t>
  </si>
  <si>
    <t xml:space="preserve">(6 .. 10]</t>
  </si>
  <si>
    <t xml:space="preserve">&gt; 10</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</si>
  <si>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SecuredByPropertyChargesClaimsRatioScore </t>
    </r>
    <r>
      <rPr>
        <sz val="10"/>
        <color rgb="FF4A452A"/>
        <rFont val="Palatino Linotype"/>
        <family val="1"/>
        <charset val="204"/>
      </rPr>
      <t xml:space="preserve">(Double securedClaimsRatio)</t>
    </r>
  </si>
  <si>
    <t xml:space="preserve">Secured Claims Ratio (%)</t>
  </si>
  <si>
    <t xml:space="preserve">Secured Claims Score</t>
  </si>
  <si>
    <t xml:space="preserve">&lt;=5</t>
  </si>
  <si>
    <t xml:space="preserve">(5 .. 10]</t>
  </si>
  <si>
    <t xml:space="preserve">(10 .. 20]</t>
  </si>
  <si>
    <t xml:space="preserve">(20 .. 30]</t>
  </si>
  <si>
    <t xml:space="preserve">(30 .. 40]</t>
  </si>
  <si>
    <t xml:space="preserve">&gt; 40</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</si>
  <si>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QuickRatioScore</t>
    </r>
    <r>
      <rPr>
        <b val="true"/>
        <sz val="12"/>
        <color rgb="FF4A452A"/>
        <rFont val="Palatino Linotype"/>
        <family val="1"/>
        <charset val="204"/>
      </rPr>
      <t xml:space="preserve"> </t>
    </r>
    <r>
      <rPr>
        <sz val="10"/>
        <color rgb="FF4A452A"/>
        <rFont val="Palatino Linotype"/>
        <family val="1"/>
        <charset val="204"/>
      </rPr>
      <t xml:space="preserve">(Double quickRatio)</t>
    </r>
  </si>
  <si>
    <t xml:space="preserve">Quick Ratio (%)</t>
  </si>
  <si>
    <t xml:space="preserve">Quick Ratio Score</t>
  </si>
  <si>
    <t xml:space="preserve">(10 .. 15]</t>
  </si>
  <si>
    <t xml:space="preserve">(15 .. 20]</t>
  </si>
  <si>
    <t xml:space="preserve">(40 .. 150]</t>
  </si>
  <si>
    <t xml:space="preserve">&gt; 150</t>
  </si>
  <si>
    <r>
      <rPr>
        <sz val="10"/>
        <color rgb="FF4A452A"/>
        <rFont val="Palatino Linotype"/>
        <family val="1"/>
        <charset val="204"/>
      </rPr>
      <t xml:space="preserve">SimpleRules Double</t>
    </r>
    <r>
      <rPr>
        <b val="true"/>
        <sz val="12"/>
        <color rgb="FF4A452A"/>
        <rFont val="Palatino Linotype"/>
        <family val="1"/>
        <charset val="204"/>
      </rPr>
      <t xml:space="preserve"> </t>
    </r>
    <r>
      <rPr>
        <b val="true"/>
        <sz val="12"/>
        <rFont val="Palatino Linotype"/>
        <family val="1"/>
        <charset val="204"/>
      </rPr>
      <t xml:space="preserve">LiquidityRatioScore</t>
    </r>
    <r>
      <rPr>
        <b val="true"/>
        <sz val="12"/>
        <color rgb="FF4A452A"/>
        <rFont val="Palatino Linotype"/>
        <family val="1"/>
        <charset val="204"/>
      </rPr>
      <t xml:space="preserve"> </t>
    </r>
    <r>
      <rPr>
        <sz val="10"/>
        <color rgb="FF4A452A"/>
        <rFont val="Palatino Linotype"/>
        <family val="1"/>
        <charset val="204"/>
      </rPr>
      <t xml:space="preserve">(Double liquidityRatio)</t>
    </r>
  </si>
  <si>
    <t xml:space="preserve">Liquidity Ratio (%)</t>
  </si>
  <si>
    <t xml:space="preserve">Liquidity Ratio Score</t>
  </si>
  <si>
    <t xml:space="preserve">(20 .. 40]</t>
  </si>
  <si>
    <t xml:space="preserve">(40 .. 50]</t>
  </si>
  <si>
    <t xml:space="preserve">(50 .. 100]</t>
  </si>
  <si>
    <t xml:space="preserve">&gt; 100</t>
  </si>
  <si>
    <r>
      <rPr>
        <sz val="10"/>
        <color rgb="FF4A452A"/>
        <rFont val="Palatino Linotype"/>
        <family val="1"/>
        <charset val="204"/>
      </rPr>
      <t xml:space="preserve">SimpleRules Double </t>
    </r>
    <r>
      <rPr>
        <b val="true"/>
        <sz val="12"/>
        <rFont val="Palatino Linotype"/>
        <family val="1"/>
        <charset val="204"/>
      </rPr>
      <t xml:space="preserve">HighLiquidityRatioScore</t>
    </r>
    <r>
      <rPr>
        <sz val="10"/>
        <color rgb="FF4A452A"/>
        <rFont val="Palatino Linotype"/>
        <family val="1"/>
        <charset val="204"/>
      </rPr>
      <t xml:space="preserve"> (Double highLiquidityRatio)</t>
    </r>
  </si>
  <si>
    <t xml:space="preserve">High Liquidity Ratio (%)</t>
  </si>
  <si>
    <t xml:space="preserve">High Liquidity Score</t>
  </si>
  <si>
    <t xml:space="preserve">(5 .. 7]</t>
  </si>
  <si>
    <t xml:space="preserve">(7 .. 10]</t>
  </si>
  <si>
    <t xml:space="preserve">(15 .. 45]</t>
  </si>
  <si>
    <t xml:space="preserve">&gt; 45</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</si>
  <si>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NetMoneyMarketLiabilitiesScore</t>
    </r>
    <r>
      <rPr>
        <sz val="10"/>
        <color rgb="FF4A452A"/>
        <rFont val="Palatino Linotype"/>
        <family val="1"/>
        <charset val="204"/>
      </rPr>
      <t xml:space="preserve"> (Double  netMoneyMarketLiabilities)</t>
    </r>
  </si>
  <si>
    <t xml:space="preserve">Net Money Market Liabilities (%)</t>
  </si>
  <si>
    <t xml:space="preserve">Net Money Market Score</t>
  </si>
  <si>
    <t xml:space="preserve">&lt;= 10</t>
  </si>
  <si>
    <t xml:space="preserve">&gt; 50</t>
  </si>
  <si>
    <r>
      <rPr>
        <sz val="10"/>
        <color rgb="FF4A452A"/>
        <rFont val="Palatino Linotype"/>
        <family val="1"/>
        <charset val="204"/>
      </rPr>
      <t xml:space="preserve">SimpleRules Double </t>
    </r>
    <r>
      <rPr>
        <b val="true"/>
        <sz val="12"/>
        <rFont val="Palatino Linotype"/>
        <family val="1"/>
        <charset val="204"/>
      </rPr>
      <t xml:space="preserve">LiabilitiesToCustomersOnDemandRatioScore</t>
    </r>
    <r>
      <rPr>
        <b val="true"/>
        <sz val="12"/>
        <color rgb="FF4A452A"/>
        <rFont val="Palatino Linotype"/>
        <family val="1"/>
        <charset val="204"/>
      </rPr>
      <t xml:space="preserve"> </t>
    </r>
    <r>
      <rPr>
        <sz val="10"/>
        <color rgb="FF4A452A"/>
        <rFont val="Palatino Linotype"/>
        <family val="1"/>
        <charset val="204"/>
      </rPr>
      <t xml:space="preserve">(Double liabilitiesToCustOnDemand)</t>
    </r>
  </si>
  <si>
    <r>
      <rPr>
        <b val="true"/>
        <sz val="12"/>
        <color rgb="FFFFFFFF"/>
        <rFont val="Palatino Linotype"/>
        <family val="1"/>
        <charset val="1"/>
      </rPr>
      <t xml:space="preserve">Liabilities to Cust on Demand Ratio</t>
    </r>
    <r>
      <rPr>
        <b val="true"/>
        <sz val="12"/>
        <color rgb="FFFFFFFF"/>
        <rFont val="Palatino Linotype"/>
        <family val="1"/>
        <charset val="204"/>
      </rPr>
      <t xml:space="preserve"> (%)</t>
    </r>
  </si>
  <si>
    <t xml:space="preserve">Liab to Cust on Demand Score</t>
  </si>
  <si>
    <t xml:space="preserve">(15 .. 30]</t>
  </si>
  <si>
    <t xml:space="preserve">(30 .. 60]</t>
  </si>
  <si>
    <t xml:space="preserve">(60 .. 80]</t>
  </si>
  <si>
    <t xml:space="preserve">(80 .. 90]</t>
  </si>
  <si>
    <t xml:space="preserve">&gt; 90</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</si>
  <si>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OtherAssetsRatioScore</t>
    </r>
    <r>
      <rPr>
        <b val="true"/>
        <sz val="12"/>
        <color rgb="FF4A452A"/>
        <rFont val="Palatino Linotype"/>
        <family val="1"/>
        <charset val="204"/>
      </rPr>
      <t xml:space="preserve"> </t>
    </r>
    <r>
      <rPr>
        <sz val="10"/>
        <color rgb="FF4A452A"/>
        <rFont val="Palatino Linotype"/>
        <family val="1"/>
        <charset val="204"/>
      </rPr>
      <t xml:space="preserve">(Double otherAssetsRatio)</t>
    </r>
  </si>
  <si>
    <r>
      <rPr>
        <b val="true"/>
        <sz val="12"/>
        <color rgb="FFFFFFFF"/>
        <rFont val="Palatino Linotype"/>
        <family val="1"/>
        <charset val="1"/>
      </rPr>
      <t xml:space="preserve">Other Assets Ratio</t>
    </r>
    <r>
      <rPr>
        <b val="true"/>
        <sz val="12"/>
        <color rgb="FFFFFFFF"/>
        <rFont val="Palatino Linotype"/>
        <family val="1"/>
        <charset val="204"/>
      </rPr>
      <t xml:space="preserve"> (%)</t>
    </r>
  </si>
  <si>
    <t xml:space="preserve">Other Assets Ratio Score</t>
  </si>
  <si>
    <t xml:space="preserve">(20 .. 25]</t>
  </si>
  <si>
    <t xml:space="preserve">(25 .. 50]</t>
  </si>
  <si>
    <t xml:space="preserve">Tests for "Balance Quality"</t>
  </si>
  <si>
    <t xml:space="preserve">Test  CapitalAdequacyScore CapitalAdequacyScoreTest</t>
  </si>
  <si>
    <t xml:space="preserve">capitalAdequacy</t>
  </si>
  <si>
    <t xml:space="preserve">0.8</t>
  </si>
  <si>
    <t xml:space="preserve">0.95</t>
  </si>
  <si>
    <t xml:space="preserve">51.2</t>
  </si>
  <si>
    <t xml:space="preserve">Balance Quality in Dynamic</t>
  </si>
  <si>
    <t xml:space="preserve">Rating Algorithm'!A54</t>
  </si>
  <si>
    <t xml:space="preserve">Use the following tables to determine scores of dynamic factors (D1, D2, …, D5) applied for calculating the first correction index B1 (Balance Dynamic Index). The scores are to assess dynamic performance of capital, liquidity, profit and liabilities to customers.</t>
  </si>
  <si>
    <r>
      <rPr>
        <sz val="10"/>
        <rFont val="Palatino Linotype"/>
        <family val="1"/>
        <charset val="204"/>
      </rPr>
      <t xml:space="preserve">Simple</t>
    </r>
    <r>
      <rPr>
        <sz val="10"/>
        <color rgb="FF4A452A"/>
        <rFont val="Palatino Linotype"/>
        <family val="1"/>
        <charset val="204"/>
      </rPr>
      <t xml:space="preserve">Rules Double </t>
    </r>
    <r>
      <rPr>
        <b val="true"/>
        <sz val="12"/>
        <rFont val="Palatino Linotype"/>
        <family val="1"/>
        <charset val="204"/>
      </rPr>
      <t xml:space="preserve">CapitalDynamicScore</t>
    </r>
    <r>
      <rPr>
        <sz val="10"/>
        <color rgb="FF4A452A"/>
        <rFont val="Palatino Linotype"/>
        <family val="1"/>
        <charset val="204"/>
      </rPr>
      <t xml:space="preserve"> (Double capitalDynamic)</t>
    </r>
  </si>
  <si>
    <t xml:space="preserve">Capital Dynamic (%)</t>
  </si>
  <si>
    <t xml:space="preserve">Capital Dynamic Score</t>
  </si>
  <si>
    <t xml:space="preserve">[0 .. 90)</t>
  </si>
  <si>
    <t xml:space="preserve">[90 .. 97)</t>
  </si>
  <si>
    <t xml:space="preserve">[97 .. 100)</t>
  </si>
  <si>
    <t xml:space="preserve">&gt;= 100</t>
  </si>
  <si>
    <r>
      <rPr>
        <sz val="10"/>
        <color rgb="FF4A452A"/>
        <rFont val="Palatino Linotype"/>
        <family val="1"/>
        <charset val="204"/>
      </rPr>
      <t xml:space="preserve">SimpleRules Double </t>
    </r>
    <r>
      <rPr>
        <b val="true"/>
        <sz val="12"/>
        <rFont val="Palatino Linotype"/>
        <family val="1"/>
        <charset val="204"/>
      </rPr>
      <t xml:space="preserve">LiquidityDynamicScore</t>
    </r>
    <r>
      <rPr>
        <sz val="10"/>
        <color rgb="FF948A54"/>
        <rFont val="Palatino Linotype"/>
        <family val="1"/>
        <charset val="204"/>
      </rPr>
      <t xml:space="preserve"> </t>
    </r>
    <r>
      <rPr>
        <sz val="10"/>
        <color rgb="FF4A452A"/>
        <rFont val="Palatino Linotype"/>
        <family val="1"/>
        <charset val="204"/>
      </rPr>
      <t xml:space="preserve">(Double liquidityDynamic)</t>
    </r>
  </si>
  <si>
    <t xml:space="preserve">Liquidity Dynamic (%)</t>
  </si>
  <si>
    <t xml:space="preserve">Liquidity Dynamic Score</t>
  </si>
  <si>
    <t xml:space="preserve">&lt;90</t>
  </si>
  <si>
    <r>
      <rPr>
        <sz val="10"/>
        <color rgb="FF4A452A"/>
        <rFont val="Palatino Linotype"/>
        <family val="1"/>
        <charset val="204"/>
      </rPr>
      <t xml:space="preserve">SimpleRules Double </t>
    </r>
    <r>
      <rPr>
        <b val="true"/>
        <sz val="12"/>
        <rFont val="Palatino Linotype"/>
        <family val="1"/>
        <charset val="204"/>
      </rPr>
      <t xml:space="preserve">ProfitDynamicScore</t>
    </r>
    <r>
      <rPr>
        <sz val="10"/>
        <color rgb="FF4A452A"/>
        <rFont val="Palatino Linotype"/>
        <family val="1"/>
        <charset val="204"/>
      </rPr>
      <t xml:space="preserve"> (Double profitDynamic, Double profit)</t>
    </r>
  </si>
  <si>
    <t xml:space="preserve">Profit Dynamic (%)</t>
  </si>
  <si>
    <t xml:space="preserve">Current Profit</t>
  </si>
  <si>
    <t xml:space="preserve">Profit Dynamic Score</t>
  </si>
  <si>
    <t xml:space="preserve">&lt;0</t>
  </si>
  <si>
    <t xml:space="preserve">&gt;=0</t>
  </si>
  <si>
    <t xml:space="preserve">&lt; 0</t>
  </si>
  <si>
    <r>
      <rPr>
        <sz val="10"/>
        <rFont val="Palatino Linotype"/>
        <family val="1"/>
        <charset val="204"/>
      </rPr>
      <t xml:space="preserve">Simple</t>
    </r>
    <r>
      <rPr>
        <sz val="10"/>
        <color rgb="FF4A452A"/>
        <rFont val="Palatino Linotype"/>
        <family val="1"/>
        <charset val="204"/>
      </rPr>
      <t xml:space="preserve">Rules Double</t>
    </r>
    <r>
      <rPr>
        <b val="true"/>
        <sz val="12"/>
        <rFont val="Palatino Linotype"/>
        <family val="1"/>
        <charset val="204"/>
      </rPr>
      <t xml:space="preserve"> LiabilitiesToCustomersDynamicScore </t>
    </r>
    <r>
      <rPr>
        <sz val="10"/>
        <color rgb="FF4A452A"/>
        <rFont val="Palatino Linotype"/>
        <family val="1"/>
        <charset val="204"/>
      </rPr>
      <t xml:space="preserve">(Double LiabToCustDynamic)</t>
    </r>
  </si>
  <si>
    <t xml:space="preserve">Liab to Cust Dynamic (%)</t>
  </si>
  <si>
    <t xml:space="preserve">Liab to Cust Dynamic Score</t>
  </si>
  <si>
    <t xml:space="preserve">Tests for "Balance Quality in Dynamic"</t>
  </si>
  <si>
    <t xml:space="preserve">Test  ProfitDynamicScore ProfitDynamicScoreTest</t>
  </si>
  <si>
    <t xml:space="preserve">profit</t>
  </si>
  <si>
    <t xml:space="preserve">profitDynamic</t>
  </si>
  <si>
    <t xml:space="preserve">0.3</t>
  </si>
  <si>
    <t xml:space="preserve">0.9</t>
  </si>
  <si>
    <t xml:space="preserve">Rating Algorithm'!A73</t>
  </si>
  <si>
    <t xml:space="preserve">Bank Qualitative Factors</t>
  </si>
  <si>
    <t xml:space="preserve">Use the following tables to determine scores of qualitative factors (I1, I2, …, I6) applied for calculating the second correction index B2 (Bank Qualitative Index). The scores are to assess reputation of the bank.</t>
  </si>
  <si>
    <r>
      <rPr>
        <sz val="10"/>
        <color rgb="FF4A452A"/>
        <rFont val="Palatino Linotype"/>
        <family val="1"/>
        <charset val="204"/>
      </rPr>
      <t xml:space="preserve">SimpleRules Double </t>
    </r>
    <r>
      <rPr>
        <b val="true"/>
        <sz val="12"/>
        <rFont val="Palatino Linotype"/>
        <family val="1"/>
        <charset val="204"/>
      </rPr>
      <t xml:space="preserve">LossesInThisYearScore</t>
    </r>
    <r>
      <rPr>
        <sz val="10"/>
        <color rgb="FF4A452A"/>
        <rFont val="Palatino Linotype"/>
        <family val="1"/>
        <charset val="204"/>
      </rPr>
      <t xml:space="preserve"> (Boolean lossesInThisYear)</t>
    </r>
  </si>
  <si>
    <t xml:space="preserve">Losses in This Year</t>
  </si>
  <si>
    <t xml:space="preserve">Losses Score</t>
  </si>
  <si>
    <t xml:space="preserve">yes</t>
  </si>
  <si>
    <t xml:space="preserve">no</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</si>
  <si>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NegativeHistoryRelationsScore</t>
    </r>
    <r>
      <rPr>
        <sz val="10"/>
        <rFont val="Palatino Linotype"/>
        <family val="1"/>
        <charset val="204"/>
      </rPr>
      <t xml:space="preserve"> </t>
    </r>
    <r>
      <rPr>
        <sz val="10"/>
        <color rgb="FF4A452A"/>
        <rFont val="Palatino Linotype"/>
        <family val="1"/>
        <charset val="204"/>
      </rPr>
      <t xml:space="preserve">(Boolean negativeHistoryRelations)</t>
    </r>
  </si>
  <si>
    <t xml:space="preserve">Negative Relations</t>
  </si>
  <si>
    <t xml:space="preserve">Negative Relations Score</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</si>
  <si>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NegativeMassMediaScore</t>
    </r>
    <r>
      <rPr>
        <sz val="10"/>
        <color rgb="FF4A452A"/>
        <rFont val="Palatino Linotype"/>
        <family val="1"/>
        <charset val="204"/>
      </rPr>
      <t xml:space="preserve"> (Boolean negativeMassMedia)</t>
    </r>
  </si>
  <si>
    <t xml:space="preserve">Negative Mass Media</t>
  </si>
  <si>
    <t xml:space="preserve">Negative Mass Media Score</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</si>
  <si>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NegativeInfoShareHoldersOrManagementScore</t>
    </r>
    <r>
      <rPr>
        <b val="true"/>
        <sz val="12"/>
        <color rgb="FF4A452A"/>
        <rFont val="Palatino Linotype"/>
        <family val="1"/>
        <charset val="204"/>
      </rPr>
      <t xml:space="preserve"> </t>
    </r>
    <r>
      <rPr>
        <sz val="10"/>
        <color rgb="FF4A452A"/>
        <rFont val="Palatino Linotype"/>
        <family val="1"/>
        <charset val="204"/>
      </rPr>
      <t xml:space="preserve">(Boolean negativeManagInfo)</t>
    </r>
  </si>
  <si>
    <t xml:space="preserve">Negative Management Info</t>
  </si>
  <si>
    <t xml:space="preserve">Negative Manag Info Score</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</si>
  <si>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DowngradesOfBankRatingScore</t>
    </r>
    <r>
      <rPr>
        <sz val="10"/>
        <rFont val="Palatino Linotype"/>
        <family val="1"/>
        <charset val="204"/>
      </rPr>
      <t xml:space="preserve"> </t>
    </r>
    <r>
      <rPr>
        <sz val="10"/>
        <color rgb="FF4A452A"/>
        <rFont val="Palatino Linotype"/>
        <family val="1"/>
        <charset val="204"/>
      </rPr>
      <t xml:space="preserve">(boolean downgradesOfBankRating)</t>
    </r>
  </si>
  <si>
    <t xml:space="preserve">Downgrades of Bank Rating</t>
  </si>
  <si>
    <t xml:space="preserve">Downgrades Score</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</si>
  <si>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TotalBalanceScore</t>
    </r>
    <r>
      <rPr>
        <sz val="10"/>
        <color rgb="FF4A452A"/>
        <rFont val="Palatino Linotype"/>
        <family val="1"/>
        <charset val="204"/>
      </rPr>
      <t xml:space="preserve"> (Double totalBalance, CountryCode countryCode)</t>
    </r>
  </si>
  <si>
    <t xml:space="preserve">Total Balance</t>
  </si>
  <si>
    <t xml:space="preserve">Country Code</t>
  </si>
  <si>
    <t xml:space="preserve">Total Balance Score</t>
  </si>
  <si>
    <t xml:space="preserve">&lt; 2K</t>
  </si>
  <si>
    <t xml:space="preserve">DE</t>
  </si>
  <si>
    <t xml:space="preserve">[2K .. 30K)</t>
  </si>
  <si>
    <t xml:space="preserve">&gt;= 30K</t>
  </si>
  <si>
    <t xml:space="preserve">&lt; 600</t>
  </si>
  <si>
    <t xml:space="preserve">&gt;= 600</t>
  </si>
  <si>
    <t xml:space="preserve">Tests for "Bank Qualitative Factors"</t>
  </si>
  <si>
    <t xml:space="preserve">Test  LossesInThisYearScore LossesInThisYearScoreTest</t>
  </si>
  <si>
    <t xml:space="preserve">lossesInThisYear</t>
  </si>
  <si>
    <t xml:space="preserve">0.4</t>
  </si>
  <si>
    <t xml:space="preserve">Test  TotalBalanceScore TotalBalanceScoreTest</t>
  </si>
  <si>
    <t xml:space="preserve">countryCode</t>
  </si>
  <si>
    <t xml:space="preserve">totalBalance</t>
  </si>
  <si>
    <t xml:space="preserve">IT</t>
  </si>
  <si>
    <t xml:space="preserve">FR</t>
  </si>
  <si>
    <t xml:space="preserve">Rating Algorithm'!A88</t>
  </si>
  <si>
    <t xml:space="preserve">Central Bank Requirements</t>
  </si>
  <si>
    <t xml:space="preserve">Use the following tables to determine scores of qualitative factors (N1, N2, N3, N4) applied for calculating the third correction index B3 (IsAdequate Normative Index). The scores are to assess  the abidance of requirements established by the central bank.</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</si>
  <si>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IsAdequateCoreCapitalRatioScore</t>
    </r>
    <r>
      <rPr>
        <b val="true"/>
        <sz val="12"/>
        <color rgb="FF4A452A"/>
        <rFont val="Palatino Linotype"/>
        <family val="1"/>
        <charset val="204"/>
      </rPr>
      <t xml:space="preserve"> </t>
    </r>
    <r>
      <rPr>
        <sz val="10"/>
        <color rgb="FF4A452A"/>
        <rFont val="Palatino Linotype"/>
        <family val="1"/>
        <charset val="204"/>
      </rPr>
      <t xml:space="preserve">(Boolean isAdequateCoreCapitalRatio)</t>
    </r>
  </si>
  <si>
    <t xml:space="preserve">Adequate Core Capital Ratio </t>
  </si>
  <si>
    <t xml:space="preserve">Adequate Core Capital Ratio Score</t>
  </si>
  <si>
    <r>
      <rPr>
        <sz val="10"/>
        <color rgb="FF4A452A"/>
        <rFont val="Palatino Linotype"/>
        <family val="1"/>
        <charset val="204"/>
      </rPr>
      <t xml:space="preserve">SimpleRules Double</t>
    </r>
    <r>
      <rPr>
        <sz val="10"/>
        <rFont val="Palatino Linotype"/>
        <family val="1"/>
        <charset val="204"/>
      </rPr>
      <t xml:space="preserve"> </t>
    </r>
    <r>
      <rPr>
        <b val="true"/>
        <sz val="12"/>
        <rFont val="Palatino Linotype"/>
        <family val="1"/>
        <charset val="204"/>
      </rPr>
      <t xml:space="preserve">IsAdequateLiquidityRatioScore</t>
    </r>
    <r>
      <rPr>
        <sz val="10"/>
        <color rgb="FF4A452A"/>
        <rFont val="Palatino Linotype"/>
        <family val="1"/>
        <charset val="204"/>
      </rPr>
      <t xml:space="preserve"> (Boolean isAdequateLiquidityRatio)</t>
    </r>
  </si>
  <si>
    <t xml:space="preserve">is Adequate Liquidity Ratio</t>
  </si>
  <si>
    <t xml:space="preserve">Adequate Liquidity Ratio Score</t>
  </si>
  <si>
    <r>
      <rPr>
        <sz val="10"/>
        <color rgb="FF4A452A"/>
        <rFont val="Palatino Linotype"/>
        <family val="1"/>
        <charset val="204"/>
      </rPr>
      <t xml:space="preserve">SimpleLookup Double</t>
    </r>
    <r>
      <rPr>
        <sz val="10"/>
        <rFont val="Palatino Linotype"/>
        <family val="1"/>
        <charset val="204"/>
      </rPr>
      <t xml:space="preserve"> </t>
    </r>
    <r>
      <rPr>
        <b val="true"/>
        <sz val="12"/>
        <rFont val="Palatino Linotype"/>
        <family val="1"/>
        <charset val="204"/>
      </rPr>
      <t xml:space="preserve">IsAdequateMaxCreditRiskScore</t>
    </r>
    <r>
      <rPr>
        <b val="true"/>
        <sz val="12"/>
        <color rgb="FF4A452A"/>
        <rFont val="Palatino Linotype"/>
        <family val="1"/>
        <charset val="204"/>
      </rPr>
      <t xml:space="preserve"> </t>
    </r>
    <r>
      <rPr>
        <sz val="10"/>
        <color rgb="FF4A452A"/>
        <rFont val="Palatino Linotype"/>
        <family val="1"/>
        <charset val="204"/>
      </rPr>
      <t xml:space="preserve">(CountryCode countryCode, Boolean isAdequateMaxCreditRisk)</t>
    </r>
  </si>
  <si>
    <r>
      <rPr>
        <b val="true"/>
        <sz val="12"/>
        <color rgb="FFFFFFFF"/>
        <rFont val="Palatino Linotype"/>
        <family val="1"/>
        <charset val="1"/>
      </rPr>
      <t xml:space="preserve">Country Code</t>
    </r>
    <r>
      <rPr>
        <b val="true"/>
        <sz val="12"/>
        <color rgb="FFFFFFFF"/>
        <rFont val="Palatino Linotype"/>
        <family val="1"/>
        <charset val="204"/>
      </rPr>
      <t xml:space="preserve">/</t>
    </r>
    <r>
      <rPr>
        <b val="true"/>
        <sz val="12"/>
        <color rgb="FFFFFFFF"/>
        <rFont val="Palatino Linotype"/>
        <family val="1"/>
        <charset val="1"/>
      </rPr>
      <t xml:space="preserve">AdequateMaxCreditRisk</t>
    </r>
  </si>
  <si>
    <t xml:space="preserve">0.7</t>
  </si>
  <si>
    <r>
      <rPr>
        <sz val="10"/>
        <color rgb="FF4A452A"/>
        <rFont val="Palatino Linotype"/>
        <family val="1"/>
        <charset val="204"/>
      </rPr>
      <t xml:space="preserve">SimpleLookup Double</t>
    </r>
    <r>
      <rPr>
        <b val="true"/>
        <sz val="12"/>
        <rFont val="Palatino Linotype"/>
        <family val="1"/>
        <charset val="204"/>
      </rPr>
      <t xml:space="preserve"> EquityScore </t>
    </r>
    <r>
      <rPr>
        <sz val="10"/>
        <color rgb="FF4A452A"/>
        <rFont val="Palatino Linotype"/>
        <family val="1"/>
        <charset val="204"/>
      </rPr>
      <t xml:space="preserve">(CountryCode countryCode, Double equity)</t>
    </r>
  </si>
  <si>
    <t xml:space="preserve">Country Code / Equity</t>
  </si>
  <si>
    <t xml:space="preserve">&lt; 200</t>
  </si>
  <si>
    <t xml:space="preserve">[200 .. 1K]</t>
  </si>
  <si>
    <t xml:space="preserve">&gt; 1K</t>
  </si>
  <si>
    <t xml:space="preserve">Tests for "Central Bank Requirements"</t>
  </si>
  <si>
    <t xml:space="preserve">Test   IsAdequateMaxCreditRiskScore  IsAdequateMaxCreditRiskScoreTest</t>
  </si>
  <si>
    <t xml:space="preserve">isAdequateMaxCreditRisk</t>
  </si>
  <si>
    <t xml:space="preserve">Adequate Max Credit Risk</t>
  </si>
  <si>
    <t xml:space="preserve"> IsAdequate Max Credit Risk Score</t>
  </si>
  <si>
    <t xml:space="preserve">CH</t>
  </si>
  <si>
    <t xml:space="preserve">Test   EquityScore EquityScoreTest</t>
  </si>
  <si>
    <t xml:space="preserve">equity</t>
  </si>
  <si>
    <t xml:space="preserve">Equity</t>
  </si>
  <si>
    <t xml:space="preserve">Equity Score</t>
  </si>
  <si>
    <t xml:space="preserve">Rating Algorithm'!A19</t>
  </si>
  <si>
    <t xml:space="preserve">Rating Groups</t>
  </si>
  <si>
    <t xml:space="preserve">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</si>
  <si>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r>
      <rPr>
        <sz val="10"/>
        <color rgb="FF4A452A"/>
        <rFont val="Palatino Linotype"/>
        <family val="1"/>
        <charset val="204"/>
      </rPr>
      <t xml:space="preserve">SimpleRules RatingGroup </t>
    </r>
    <r>
      <rPr>
        <b val="true"/>
        <sz val="12"/>
        <rFont val="Palatino Linotype"/>
        <family val="1"/>
        <charset val="204"/>
      </rPr>
      <t xml:space="preserve">BankRatingGroup</t>
    </r>
    <r>
      <rPr>
        <sz val="10"/>
        <color rgb="FF4A452A"/>
        <rFont val="Palatino Linotype"/>
        <family val="1"/>
        <charset val="204"/>
      </rPr>
      <t xml:space="preserve"> (Double bankRating)</t>
    </r>
  </si>
  <si>
    <t xml:space="preserve">Bank Rating</t>
  </si>
  <si>
    <t xml:space="preserve">&lt;= 0.25</t>
  </si>
  <si>
    <t xml:space="preserve">R5</t>
  </si>
  <si>
    <t xml:space="preserve">(0.25 .. 0.4]</t>
  </si>
  <si>
    <t xml:space="preserve">R4</t>
  </si>
  <si>
    <t xml:space="preserve">(0.4 .. 0.7]</t>
  </si>
  <si>
    <t xml:space="preserve">(0.7 .. 0.9]</t>
  </si>
  <si>
    <t xml:space="preserve">R2</t>
  </si>
  <si>
    <t xml:space="preserve">&gt; 0.9</t>
  </si>
  <si>
    <t xml:space="preserve">R1</t>
  </si>
  <si>
    <t xml:space="preserve">Tests for "Rating Groups"</t>
  </si>
  <si>
    <t xml:space="preserve">Test  BankRatingGroup BankRatingGroupTest</t>
  </si>
  <si>
    <t xml:space="preserve"> bankRating</t>
  </si>
  <si>
    <t xml:space="preserve">0.25</t>
  </si>
  <si>
    <t xml:space="preserve">0.85</t>
  </si>
  <si>
    <t xml:space="preserve">Rating Algorithm'!A20</t>
  </si>
  <si>
    <t xml:space="preserve">The Limit Index</t>
  </si>
  <si>
    <t xml:space="preserve">Use the following table to determine the rules for calculating the Limit Index (Kl). The Limit Index is  a coefficient of maximum limit allowed on a bank.</t>
  </si>
  <si>
    <r>
      <rPr>
        <sz val="10"/>
        <color rgb="FF4A452A"/>
        <rFont val="Palatino Linotype"/>
        <family val="1"/>
        <charset val="204"/>
      </rPr>
      <t xml:space="preserve">Rules Double </t>
    </r>
    <r>
      <rPr>
        <b val="true"/>
        <sz val="12"/>
        <rFont val="Palatino Linotype"/>
        <family val="1"/>
        <charset val="204"/>
      </rPr>
      <t xml:space="preserve">BankLimitIndex</t>
    </r>
    <r>
      <rPr>
        <sz val="10"/>
        <color rgb="FF4A452A"/>
        <rFont val="Palatino Linotype"/>
        <family val="1"/>
        <charset val="204"/>
      </rPr>
      <t xml:space="preserve"> (Bank bank, RatingGroup bankRatingGroup)</t>
    </r>
  </si>
  <si>
    <t xml:space="preserve">Rule</t>
  </si>
  <si>
    <t xml:space="preserve">C1</t>
  </si>
  <si>
    <t xml:space="preserve">C2</t>
  </si>
  <si>
    <t xml:space="preserve">HC1</t>
  </si>
  <si>
    <t xml:space="preserve">HC2</t>
  </si>
  <si>
    <t xml:space="preserve">RET1</t>
  </si>
  <si>
    <t xml:space="preserve">contains(ratingArray, bankRatings[select first having ratingAgency == agency].rating)</t>
  </si>
  <si>
    <t xml:space="preserve">bankRatingGroup</t>
  </si>
  <si>
    <t xml:space="preserve">currentFinancialData.totalAssets</t>
  </si>
  <si>
    <t xml:space="preserve">RatingAgency agency</t>
  </si>
  <si>
    <t xml:space="preserve">LongTermRating[] ratingArray</t>
  </si>
  <si>
    <t xml:space="preserve">RatingGroup[]</t>
  </si>
  <si>
    <t xml:space="preserve">CountryCode[]</t>
  </si>
  <si>
    <t xml:space="preserve">DoubleRange</t>
  </si>
  <si>
    <t xml:space="preserve">#</t>
  </si>
  <si>
    <t xml:space="preserve">Agency</t>
  </si>
  <si>
    <t xml:space="preserve">Rating of Agency</t>
  </si>
  <si>
    <t xml:space="preserve">Bank Rating Group /
Country, Financial Data</t>
  </si>
  <si>
    <t xml:space="preserve">DE, AT, DK, CH, NL, BE</t>
  </si>
  <si>
    <t xml:space="preserve">RU, UA, KZ</t>
  </si>
  <si>
    <t xml:space="preserve">&lt; 8K</t>
  </si>
  <si>
    <t xml:space="preserve">[8K .. 100K)</t>
  </si>
  <si>
    <t xml:space="preserve">&gt;= 100K</t>
  </si>
  <si>
    <t xml:space="preserve">&lt; 1K</t>
  </si>
  <si>
    <t xml:space="preserve">[1K .. 10K)</t>
  </si>
  <si>
    <t xml:space="preserve">&gt;= 10K</t>
  </si>
  <si>
    <t xml:space="preserve">Moody's Investors Service</t>
  </si>
  <si>
    <t xml:space="preserve">Aaa, Aa1, Aa2, Aa3, A1, A2, A3, Baa1, Baa2, Baa3</t>
  </si>
  <si>
    <t xml:space="preserve">Fitch</t>
  </si>
  <si>
    <t xml:space="preserve">AAA, AA+, AA, AA-, A+, A, A-, BBB+, BBB, BBB-</t>
  </si>
  <si>
    <t xml:space="preserve">Standard &amp; Poor's</t>
  </si>
  <si>
    <t xml:space="preserve">Ba1, Ba2, Ba3, B1, B2, B3</t>
  </si>
  <si>
    <t xml:space="preserve">R1, R2</t>
  </si>
  <si>
    <t xml:space="preserve">BB+, BB, BB-, B+, B, B-</t>
  </si>
  <si>
    <t xml:space="preserve">Tests for "Limit"</t>
  </si>
  <si>
    <t xml:space="preserve">Test BankLimitIndex BankLimitIndexTest</t>
  </si>
  <si>
    <t xml:space="preserve">Bank Limit Index</t>
  </si>
  <si>
    <t xml:space="preserve">Rating Algorithm'!A21</t>
  </si>
  <si>
    <t xml:space="preserve">Max Limit</t>
  </si>
  <si>
    <t xml:space="preserve">This is the maximum limit allowed on the bank-counterparty (Lmax).</t>
  </si>
  <si>
    <r>
      <rPr>
        <b val="true"/>
        <sz val="12"/>
        <rFont val="Palatino Linotype"/>
        <family val="1"/>
        <charset val="1"/>
      </rPr>
      <t xml:space="preserve">Constants</t>
    </r>
    <r>
      <rPr>
        <sz val="10"/>
        <color rgb="FFA6A6A6"/>
        <rFont val="Palatino Linotype"/>
        <family val="1"/>
        <charset val="204"/>
      </rPr>
      <t xml:space="preserve"> </t>
    </r>
  </si>
  <si>
    <t xml:space="preserve">Double</t>
  </si>
  <si>
    <t xml:space="preserve">MaxLimit</t>
  </si>
  <si>
    <t xml:space="preserve">Rating Algorithm'!A12</t>
  </si>
  <si>
    <t xml:space="preserve">Assignment of Default Values</t>
  </si>
  <si>
    <r>
      <rPr>
        <sz val="10"/>
        <color rgb="FF4A452A"/>
        <rFont val="Palatino Linotype"/>
        <family val="1"/>
        <charset val="204"/>
      </rPr>
      <t xml:space="preserve">Spreadsheet FinancialData </t>
    </r>
    <r>
      <rPr>
        <b val="true"/>
        <sz val="12"/>
        <rFont val="Palatino Linotype"/>
        <family val="1"/>
        <charset val="204"/>
      </rPr>
      <t xml:space="preserve">SetNonZeroValues</t>
    </r>
    <r>
      <rPr>
        <sz val="10"/>
        <color rgb="FF4A452A"/>
        <rFont val="Palatino Linotype"/>
        <family val="1"/>
        <charset val="204"/>
      </rPr>
      <t xml:space="preserve"> (FinancialData financialData)</t>
    </r>
  </si>
  <si>
    <t xml:space="preserve">Formula</t>
  </si>
  <si>
    <t xml:space="preserve">TotalAssets</t>
  </si>
  <si>
    <t xml:space="preserve">= NonZeroValues (totalAssets)</t>
  </si>
  <si>
    <t xml:space="preserve">ClaimsOnDemand</t>
  </si>
  <si>
    <t xml:space="preserve">= NonZeroValues (claimsOnDemand)</t>
  </si>
  <si>
    <t xml:space="preserve">ClaimsUpTo3Months</t>
  </si>
  <si>
    <t xml:space="preserve">= NonZeroValues (claimsUpTo3Months)</t>
  </si>
  <si>
    <t xml:space="preserve">ClaimsOnCustomers</t>
  </si>
  <si>
    <t xml:space="preserve">= NonZeroValues (claimsOnCustomers)</t>
  </si>
  <si>
    <t xml:space="preserve">Capital</t>
  </si>
  <si>
    <t xml:space="preserve">= NonZeroValues (capital)</t>
  </si>
  <si>
    <t xml:space="preserve">Liabilities</t>
  </si>
  <si>
    <t xml:space="preserve">= NonZeroValues (liabilities)</t>
  </si>
  <si>
    <t xml:space="preserve">LiabilitiesToCustomers</t>
  </si>
  <si>
    <t xml:space="preserve">= NonZeroValues (liabilitiesToCustomers)</t>
  </si>
  <si>
    <t xml:space="preserve">LiabilitiesOnDemand</t>
  </si>
  <si>
    <t xml:space="preserve">= NonZeroValues (liabilitiesOnDemand)</t>
  </si>
  <si>
    <t xml:space="preserve">ConsolidatedProfit</t>
  </si>
  <si>
    <t xml:space="preserve">= NonZeroValues (consolidatedProfit)</t>
  </si>
  <si>
    <t xml:space="preserve">Return</t>
  </si>
  <si>
    <t xml:space="preserve">= totalAssets = $TotalAssets; claimsOnDemand = $ClaimsOnDemand; claimsUpTo3Months = $ClaimsUpTo3Months; claimsOnCustomers = $ClaimsOnCustomers; capital = $Capital; liabilities = $Liabilities; liabilitiesToCustomers = $LiabilitiesToCustomers; liabilitiesOnDemand = $LiabilitiesOnDemand; consolidatedProfit = $ConsolidatedProfit; financialData</t>
  </si>
  <si>
    <r>
      <rPr>
        <sz val="10"/>
        <color rgb="FF808080"/>
        <rFont val="Palatino Linotype"/>
        <family val="1"/>
        <charset val="1"/>
      </rPr>
      <t xml:space="preserve">SmartRules Double</t>
    </r>
    <r>
      <rPr>
        <sz val="10"/>
        <rFont val="Palatino Linotype"/>
        <family val="1"/>
        <charset val="204"/>
      </rPr>
      <t xml:space="preserve"> </t>
    </r>
    <r>
      <rPr>
        <b val="true"/>
        <sz val="12"/>
        <rFont val="Palatino Linotype"/>
        <family val="1"/>
        <charset val="204"/>
      </rPr>
      <t xml:space="preserve">NonZeroValues</t>
    </r>
    <r>
      <rPr>
        <b val="true"/>
        <sz val="10"/>
        <color rgb="FF808080"/>
        <rFont val="Palatino Linotype"/>
        <family val="1"/>
        <charset val="1"/>
      </rPr>
      <t xml:space="preserve"> </t>
    </r>
    <r>
      <rPr>
        <sz val="10"/>
        <color rgb="FF808080"/>
        <rFont val="Palatino Linotype"/>
        <family val="1"/>
        <charset val="1"/>
      </rPr>
      <t xml:space="preserve">(Double value)</t>
    </r>
  </si>
  <si>
    <t xml:space="preserve">= value == 0</t>
  </si>
  <si>
    <t xml:space="preserve">0.0001</t>
  </si>
  <si>
    <t xml:space="preserve">= value</t>
  </si>
  <si>
    <t xml:space="preserve">Tests for "Set NonZero Values"</t>
  </si>
  <si>
    <t xml:space="preserve">Test  SetNonZeroValues SetNonZeroValuesTest</t>
  </si>
  <si>
    <t xml:space="preserve">financialData</t>
  </si>
  <si>
    <t xml:space="preserve">_res_.totalAssets</t>
  </si>
  <si>
    <t xml:space="preserve">rowID Financial Data</t>
  </si>
  <si>
    <t xml:space="preserve">total Assets</t>
  </si>
  <si>
    <t xml:space="preserve">! Look results by tracing the test</t>
  </si>
  <si>
    <t xml:space="preserve">Domain Model</t>
  </si>
  <si>
    <r>
      <rPr>
        <sz val="10"/>
        <color rgb="FFFFFFFF"/>
        <rFont val="Palatino Linotype"/>
        <family val="1"/>
        <charset val="204"/>
      </rPr>
      <t xml:space="preserve">Datatype </t>
    </r>
    <r>
      <rPr>
        <b val="true"/>
        <sz val="12"/>
        <color rgb="FFFFFFFF"/>
        <rFont val="Palatino Linotype"/>
        <family val="1"/>
        <charset val="204"/>
      </rPr>
      <t xml:space="preserve">Bank</t>
    </r>
  </si>
  <si>
    <t xml:space="preserve">String</t>
  </si>
  <si>
    <t xml:space="preserve">bankID</t>
  </si>
  <si>
    <t xml:space="preserve">bankFullName</t>
  </si>
  <si>
    <t xml:space="preserve">CountryCode</t>
  </si>
  <si>
    <t xml:space="preserve">Rating[]</t>
  </si>
  <si>
    <t xml:space="preserve">bankRatings</t>
  </si>
  <si>
    <t xml:space="preserve">FinancialData</t>
  </si>
  <si>
    <t xml:space="preserve">previousFinancialData</t>
  </si>
  <si>
    <t xml:space="preserve">QualityIndicators</t>
  </si>
  <si>
    <t xml:space="preserve">qualityIndicators</t>
  </si>
  <si>
    <r>
      <rPr>
        <sz val="10"/>
        <color rgb="FFFFFFFF"/>
        <rFont val="Palatino Linotype"/>
        <family val="1"/>
        <charset val="204"/>
      </rPr>
      <t xml:space="preserve">Datatype </t>
    </r>
    <r>
      <rPr>
        <b val="true"/>
        <sz val="12"/>
        <color rgb="FFFFFFFF"/>
        <rFont val="Palatino Linotype"/>
        <family val="1"/>
        <charset val="204"/>
      </rPr>
      <t xml:space="preserve">FinancialData</t>
    </r>
  </si>
  <si>
    <t xml:space="preserve">Date</t>
  </si>
  <si>
    <t xml:space="preserve">reportDate</t>
  </si>
  <si>
    <t xml:space="preserve">totalAssets</t>
  </si>
  <si>
    <t xml:space="preserve">claimsOnDemand</t>
  </si>
  <si>
    <t xml:space="preserve">claimsUpTo3Months</t>
  </si>
  <si>
    <t xml:space="preserve">claimsSecuredByPropertyCharges</t>
  </si>
  <si>
    <t xml:space="preserve">claimsOnBanks</t>
  </si>
  <si>
    <t xml:space="preserve">claimsOnCustomers</t>
  </si>
  <si>
    <t xml:space="preserve">loanLossProvisionsForClaimsOnCustomers</t>
  </si>
  <si>
    <t xml:space="preserve">otherAssets</t>
  </si>
  <si>
    <t xml:space="preserve">capital</t>
  </si>
  <si>
    <t xml:space="preserve">liabilities</t>
  </si>
  <si>
    <t xml:space="preserve">liabilitiesToBanks</t>
  </si>
  <si>
    <t xml:space="preserve">liabilitiesToCustomers</t>
  </si>
  <si>
    <t xml:space="preserve">liabilitiesOnDemand</t>
  </si>
  <si>
    <t xml:space="preserve">liabilitiesToCustomersOnDemand</t>
  </si>
  <si>
    <t xml:space="preserve">consolidatedProfit</t>
  </si>
  <si>
    <r>
      <rPr>
        <sz val="10"/>
        <color rgb="FFFFFFFF"/>
        <rFont val="Palatino Linotype"/>
        <family val="1"/>
        <charset val="204"/>
      </rPr>
      <t xml:space="preserve">Datatype</t>
    </r>
    <r>
      <rPr>
        <b val="true"/>
        <sz val="12"/>
        <color rgb="FFFFFFFF"/>
        <rFont val="Palatino Linotype"/>
        <family val="1"/>
        <charset val="204"/>
      </rPr>
      <t xml:space="preserve"> QualityIndicators</t>
    </r>
  </si>
  <si>
    <t xml:space="preserve">Boolean</t>
  </si>
  <si>
    <t xml:space="preserve">negativeHistoryRelations</t>
  </si>
  <si>
    <t xml:space="preserve">negativeMassMedia</t>
  </si>
  <si>
    <t xml:space="preserve">negativeInfoShareHoldersOrManagement</t>
  </si>
  <si>
    <t xml:space="preserve">downgradesOfBankRating</t>
  </si>
  <si>
    <t xml:space="preserve">isAdequateCoreCapitalRatio </t>
  </si>
  <si>
    <t xml:space="preserve">isAdequateLiquidityRatio</t>
  </si>
  <si>
    <r>
      <rPr>
        <sz val="10"/>
        <color rgb="FFFFFFFF"/>
        <rFont val="Palatino Linotype"/>
        <family val="1"/>
        <charset val="204"/>
      </rPr>
      <t xml:space="preserve">Datatype </t>
    </r>
    <r>
      <rPr>
        <b val="true"/>
        <sz val="12"/>
        <color rgb="FFFFFFFF"/>
        <rFont val="Palatino Linotype"/>
        <family val="1"/>
        <charset val="204"/>
      </rPr>
      <t xml:space="preserve"> Rating</t>
    </r>
  </si>
  <si>
    <t xml:space="preserve">RatingAgency</t>
  </si>
  <si>
    <t xml:space="preserve">ratingAgency</t>
  </si>
  <si>
    <t xml:space="preserve">rating</t>
  </si>
  <si>
    <t xml:space="preserve">Vocabulary</t>
  </si>
  <si>
    <r>
      <rPr>
        <sz val="10"/>
        <color rgb="FFFFFFFF"/>
        <rFont val="Palatino Linotype"/>
        <family val="1"/>
        <charset val="204"/>
      </rPr>
      <t xml:space="preserve">Datatype </t>
    </r>
    <r>
      <rPr>
        <b val="true"/>
        <sz val="12"/>
        <color rgb="FFFFFFFF"/>
        <rFont val="Palatino Linotype"/>
        <family val="1"/>
        <charset val="204"/>
      </rPr>
      <t xml:space="preserve">RatingAgency</t>
    </r>
    <r>
      <rPr>
        <sz val="10"/>
        <color rgb="FFFFFFFF"/>
        <rFont val="Palatino Linotype"/>
        <family val="1"/>
        <charset val="204"/>
      </rPr>
      <t xml:space="preserve"> &lt;String&gt;</t>
    </r>
  </si>
  <si>
    <r>
      <rPr>
        <sz val="10"/>
        <color rgb="FFFFFFFF"/>
        <rFont val="Palatino Linotype"/>
        <family val="1"/>
        <charset val="204"/>
      </rPr>
      <t xml:space="preserve">Datatype </t>
    </r>
    <r>
      <rPr>
        <b val="true"/>
        <sz val="12"/>
        <color rgb="FFFFFFFF"/>
        <rFont val="Palatino Linotype"/>
        <family val="1"/>
        <charset val="204"/>
      </rPr>
      <t xml:space="preserve">LongTermRating</t>
    </r>
    <r>
      <rPr>
        <sz val="10"/>
        <color rgb="FFFFFFFF"/>
        <rFont val="Palatino Linotype"/>
        <family val="1"/>
        <charset val="204"/>
      </rPr>
      <t xml:space="preserve"> &lt;String&gt;</t>
    </r>
  </si>
  <si>
    <t xml:space="preserve">Aaa</t>
  </si>
  <si>
    <t xml:space="preserve">Aa1</t>
  </si>
  <si>
    <t xml:space="preserve">Aa2</t>
  </si>
  <si>
    <t xml:space="preserve">Aa3</t>
  </si>
  <si>
    <t xml:space="preserve">A1</t>
  </si>
  <si>
    <t xml:space="preserve">A2</t>
  </si>
  <si>
    <t xml:space="preserve">A3</t>
  </si>
  <si>
    <t xml:space="preserve">Baa1</t>
  </si>
  <si>
    <t xml:space="preserve">Baa2</t>
  </si>
  <si>
    <t xml:space="preserve">Baa3</t>
  </si>
  <si>
    <t xml:space="preserve">Ba1</t>
  </si>
  <si>
    <t xml:space="preserve">Ba2</t>
  </si>
  <si>
    <t xml:space="preserve">Ba3</t>
  </si>
  <si>
    <t xml:space="preserve">B1</t>
  </si>
  <si>
    <t xml:space="preserve">B2</t>
  </si>
  <si>
    <t xml:space="preserve">B3</t>
  </si>
  <si>
    <t xml:space="preserve">Caa1</t>
  </si>
  <si>
    <t xml:space="preserve">Caa2</t>
  </si>
  <si>
    <t xml:space="preserve">Caa3</t>
  </si>
  <si>
    <t xml:space="preserve">Ca</t>
  </si>
  <si>
    <t xml:space="preserve">C</t>
  </si>
  <si>
    <t xml:space="preserve">AAA</t>
  </si>
  <si>
    <t xml:space="preserve">AA+</t>
  </si>
  <si>
    <t xml:space="preserve">AA</t>
  </si>
  <si>
    <t xml:space="preserve">AA-</t>
  </si>
  <si>
    <t xml:space="preserve">A+</t>
  </si>
  <si>
    <t xml:space="preserve">A</t>
  </si>
  <si>
    <t xml:space="preserve">A-</t>
  </si>
  <si>
    <t xml:space="preserve">BBB+</t>
  </si>
  <si>
    <t xml:space="preserve">BBB</t>
  </si>
  <si>
    <t xml:space="preserve">BBB-</t>
  </si>
  <si>
    <t xml:space="preserve">BB+</t>
  </si>
  <si>
    <t xml:space="preserve">BB</t>
  </si>
  <si>
    <t xml:space="preserve">BB-</t>
  </si>
  <si>
    <t xml:space="preserve">B+</t>
  </si>
  <si>
    <t xml:space="preserve">B</t>
  </si>
  <si>
    <t xml:space="preserve">B-</t>
  </si>
  <si>
    <t xml:space="preserve">CCC</t>
  </si>
  <si>
    <t xml:space="preserve">CC</t>
  </si>
  <si>
    <t xml:space="preserve">RD/D</t>
  </si>
  <si>
    <t xml:space="preserve">CCC+</t>
  </si>
  <si>
    <t xml:space="preserve">CCC-</t>
  </si>
  <si>
    <t xml:space="preserve">D</t>
  </si>
  <si>
    <r>
      <rPr>
        <sz val="10"/>
        <color rgb="FFFFFFFF"/>
        <rFont val="Palatino Linotype"/>
        <family val="1"/>
        <charset val="204"/>
      </rPr>
      <t xml:space="preserve">Datatype </t>
    </r>
    <r>
      <rPr>
        <b val="true"/>
        <sz val="12"/>
        <color rgb="FFFFFFFF"/>
        <rFont val="Palatino Linotype"/>
        <family val="1"/>
        <charset val="204"/>
      </rPr>
      <t xml:space="preserve">CountryCode </t>
    </r>
    <r>
      <rPr>
        <sz val="10"/>
        <color rgb="FFFFFFFF"/>
        <rFont val="Palatino Linotype"/>
        <family val="1"/>
        <charset val="204"/>
      </rPr>
      <t xml:space="preserve">&lt;String&gt;</t>
    </r>
  </si>
  <si>
    <t xml:space="preserve">BE</t>
  </si>
  <si>
    <t xml:space="preserve">NL</t>
  </si>
  <si>
    <t xml:space="preserve">AT</t>
  </si>
  <si>
    <t xml:space="preserve">DK</t>
  </si>
  <si>
    <t xml:space="preserve">US</t>
  </si>
  <si>
    <t xml:space="preserve">CZ</t>
  </si>
  <si>
    <t xml:space="preserve">SE</t>
  </si>
  <si>
    <t xml:space="preserve">FI</t>
  </si>
  <si>
    <t xml:space="preserve">UA</t>
  </si>
  <si>
    <t xml:space="preserve">KZ</t>
  </si>
  <si>
    <t xml:space="preserve">PL</t>
  </si>
  <si>
    <t xml:space="preserve">GB</t>
  </si>
  <si>
    <t xml:space="preserve">RU</t>
  </si>
  <si>
    <t xml:space="preserve">IE</t>
  </si>
  <si>
    <r>
      <rPr>
        <sz val="10"/>
        <color rgb="FFFFFFFF"/>
        <rFont val="Palatino Linotype"/>
        <family val="1"/>
        <charset val="204"/>
      </rPr>
      <t xml:space="preserve">Datatype </t>
    </r>
    <r>
      <rPr>
        <b val="true"/>
        <sz val="12"/>
        <color rgb="FFFFFFFF"/>
        <rFont val="Palatino Linotype"/>
        <family val="1"/>
        <charset val="204"/>
      </rPr>
      <t xml:space="preserve">RatingGroup</t>
    </r>
    <r>
      <rPr>
        <sz val="10"/>
        <color rgb="FFFFFFFF"/>
        <rFont val="Palatino Linotype"/>
        <family val="1"/>
        <charset val="204"/>
      </rPr>
      <t xml:space="preserve"> &lt;String&gt;</t>
    </r>
  </si>
  <si>
    <t xml:space="preserve">Datasets</t>
  </si>
  <si>
    <t xml:space="preserve">data are from  </t>
  </si>
  <si>
    <t xml:space="preserve">//currency of all data is EUR. All data are in million EUR</t>
  </si>
  <si>
    <r>
      <rPr>
        <sz val="10"/>
        <color rgb="FF4A452A"/>
        <rFont val="Palatino Linotype"/>
        <family val="1"/>
        <charset val="204"/>
      </rPr>
      <t xml:space="preserve">Data Bank</t>
    </r>
    <r>
      <rPr>
        <sz val="10"/>
        <rFont val="Palatino Linotype"/>
        <family val="1"/>
        <charset val="204"/>
      </rPr>
      <t xml:space="preserve"> </t>
    </r>
    <r>
      <rPr>
        <b val="true"/>
        <sz val="12"/>
        <rFont val="Palatino Linotype"/>
        <family val="1"/>
        <charset val="204"/>
      </rPr>
      <t xml:space="preserve">bankData</t>
    </r>
  </si>
  <si>
    <t xml:space="preserve">&gt; bankRatingList</t>
  </si>
  <si>
    <t xml:space="preserve">&gt; bankFinancialData</t>
  </si>
  <si>
    <t xml:space="preserve">&gt; qualityIndicatorsData</t>
  </si>
  <si>
    <t xml:space="preserve">Bank Full Name</t>
  </si>
  <si>
    <t xml:space="preserve">Bank Ratings</t>
  </si>
  <si>
    <t xml:space="preserve">Current Financial Data</t>
  </si>
  <si>
    <t xml:space="preserve">Previous Financial Data</t>
  </si>
  <si>
    <t xml:space="preserve">Quality Indicators</t>
  </si>
  <si>
    <t xml:space="preserve">Commerzbank</t>
  </si>
  <si>
    <t xml:space="preserve">MA2, FA+, SPA</t>
  </si>
  <si>
    <r>
      <rPr>
        <sz val="10"/>
        <color rgb="FF4A452A"/>
        <rFont val="Palatino Linotype"/>
        <family val="1"/>
        <charset val="204"/>
      </rPr>
      <t xml:space="preserve">Data FinancialData</t>
    </r>
    <r>
      <rPr>
        <b val="true"/>
        <sz val="12"/>
        <rFont val="Palatino Linotype"/>
        <family val="1"/>
        <charset val="204"/>
      </rPr>
      <t xml:space="preserve"> bankFinancialData</t>
    </r>
  </si>
  <si>
    <t xml:space="preserve">_PK_</t>
  </si>
  <si>
    <t xml:space="preserve">key</t>
  </si>
  <si>
    <t xml:space="preserve">Report Date</t>
  </si>
  <si>
    <t xml:space="preserve">Total Assets</t>
  </si>
  <si>
    <t xml:space="preserve">Claims on Demand</t>
  </si>
  <si>
    <t xml:space="preserve">Claims up to 3Months</t>
  </si>
  <si>
    <t xml:space="preserve">Claims Secured by Property Charges</t>
  </si>
  <si>
    <t xml:space="preserve">Claims on Banks</t>
  </si>
  <si>
    <t xml:space="preserve">Claims on Customers</t>
  </si>
  <si>
    <t xml:space="preserve">LoanLossProvisionsForClaimsOnCustomers</t>
  </si>
  <si>
    <t xml:space="preserve">Other Assets</t>
  </si>
  <si>
    <t xml:space="preserve">Liabilities to Banks</t>
  </si>
  <si>
    <t xml:space="preserve">Liabilities to Customers</t>
  </si>
  <si>
    <t xml:space="preserve">Liabilities on Demand</t>
  </si>
  <si>
    <t xml:space="preserve">Liabilities to Customers on Demand</t>
  </si>
  <si>
    <t xml:space="preserve">Consolidated Profit</t>
  </si>
  <si>
    <t xml:space="preserve">01/01/2010</t>
  </si>
  <si>
    <t xml:space="preserve">01/01/2009</t>
  </si>
  <si>
    <r>
      <rPr>
        <sz val="10"/>
        <color rgb="FF4A452A"/>
        <rFont val="Palatino Linotype"/>
        <family val="1"/>
        <charset val="204"/>
      </rPr>
      <t xml:space="preserve">Data QualityIndicators </t>
    </r>
    <r>
      <rPr>
        <b val="true"/>
        <sz val="12"/>
        <rFont val="Palatino Linotype"/>
        <family val="1"/>
        <charset val="204"/>
      </rPr>
      <t xml:space="preserve">qualityIndicatorsData</t>
    </r>
  </si>
  <si>
    <t xml:space="preserve">NegativeHistoryRelations</t>
  </si>
  <si>
    <t xml:space="preserve">NegativeMassMedia</t>
  </si>
  <si>
    <t xml:space="preserve">NegativeInfoShareHoldersOrManagement</t>
  </si>
  <si>
    <t xml:space="preserve">DowngradesOfBankRating</t>
  </si>
  <si>
    <r>
      <rPr>
        <sz val="10"/>
        <color rgb="FF4A452A"/>
        <rFont val="Palatino Linotype"/>
        <family val="1"/>
        <charset val="204"/>
      </rPr>
      <t xml:space="preserve">Data Rating </t>
    </r>
    <r>
      <rPr>
        <b val="true"/>
        <sz val="12"/>
        <rFont val="Palatino Linotype"/>
        <family val="1"/>
        <charset val="204"/>
      </rPr>
      <t xml:space="preserve">bankRatingList</t>
    </r>
  </si>
  <si>
    <t xml:space="preserve">Key</t>
  </si>
  <si>
    <t xml:space="preserve">Long-term Rating</t>
  </si>
  <si>
    <t xml:space="preserve">MAaa</t>
  </si>
  <si>
    <t xml:space="preserve">MAa1</t>
  </si>
  <si>
    <t xml:space="preserve">MAa2</t>
  </si>
  <si>
    <t xml:space="preserve">MAa3</t>
  </si>
  <si>
    <t xml:space="preserve">MA1</t>
  </si>
  <si>
    <t xml:space="preserve">MA2</t>
  </si>
  <si>
    <t xml:space="preserve">MA3</t>
  </si>
  <si>
    <t xml:space="preserve">MBaa1</t>
  </si>
  <si>
    <t xml:space="preserve">MBaa2</t>
  </si>
  <si>
    <t xml:space="preserve">MBaa3</t>
  </si>
  <si>
    <t xml:space="preserve">MBa1</t>
  </si>
  <si>
    <t xml:space="preserve">MBa2</t>
  </si>
  <si>
    <t xml:space="preserve">MBa3</t>
  </si>
  <si>
    <t xml:space="preserve">MB1</t>
  </si>
  <si>
    <t xml:space="preserve">MB2</t>
  </si>
  <si>
    <t xml:space="preserve">MB3</t>
  </si>
  <si>
    <t xml:space="preserve">MCaa1</t>
  </si>
  <si>
    <t xml:space="preserve">MCaa2</t>
  </si>
  <si>
    <t xml:space="preserve">MCaa3</t>
  </si>
  <si>
    <t xml:space="preserve">MCa</t>
  </si>
  <si>
    <t xml:space="preserve">MC</t>
  </si>
  <si>
    <t xml:space="preserve">FAAA</t>
  </si>
  <si>
    <t xml:space="preserve">FAA+</t>
  </si>
  <si>
    <t xml:space="preserve">FAA</t>
  </si>
  <si>
    <t xml:space="preserve">FAA-</t>
  </si>
  <si>
    <t xml:space="preserve">FA+</t>
  </si>
  <si>
    <t xml:space="preserve">FA</t>
  </si>
  <si>
    <t xml:space="preserve">FA-</t>
  </si>
  <si>
    <t xml:space="preserve">FBBB+</t>
  </si>
  <si>
    <t xml:space="preserve">FBBB</t>
  </si>
  <si>
    <t xml:space="preserve">FBBB-</t>
  </si>
  <si>
    <t xml:space="preserve">FBB+</t>
  </si>
  <si>
    <t xml:space="preserve">FBB</t>
  </si>
  <si>
    <t xml:space="preserve">FBB-</t>
  </si>
  <si>
    <t xml:space="preserve">FB+</t>
  </si>
  <si>
    <t xml:space="preserve">FB</t>
  </si>
  <si>
    <t xml:space="preserve">FB-</t>
  </si>
  <si>
    <t xml:space="preserve">FCCC</t>
  </si>
  <si>
    <t xml:space="preserve">FCC</t>
  </si>
  <si>
    <t xml:space="preserve">FC</t>
  </si>
  <si>
    <t xml:space="preserve">FRD/D</t>
  </si>
  <si>
    <t xml:space="preserve">SPAAA</t>
  </si>
  <si>
    <t xml:space="preserve">SPAA+</t>
  </si>
  <si>
    <t xml:space="preserve">SPAA</t>
  </si>
  <si>
    <t xml:space="preserve">SPAA-</t>
  </si>
  <si>
    <t xml:space="preserve">SPA+</t>
  </si>
  <si>
    <t xml:space="preserve">SPA</t>
  </si>
  <si>
    <t xml:space="preserve">SPA-</t>
  </si>
  <si>
    <t xml:space="preserve">SPBBB+</t>
  </si>
  <si>
    <t xml:space="preserve">SPBBB</t>
  </si>
  <si>
    <t xml:space="preserve">SPBBB-</t>
  </si>
  <si>
    <t xml:space="preserve">SPBB+</t>
  </si>
  <si>
    <t xml:space="preserve">SPBB</t>
  </si>
  <si>
    <t xml:space="preserve">SPBB-</t>
  </si>
  <si>
    <t xml:space="preserve">SPB+</t>
  </si>
  <si>
    <t xml:space="preserve">SPB</t>
  </si>
  <si>
    <t xml:space="preserve">SPB-</t>
  </si>
  <si>
    <t xml:space="preserve">SPCCC+</t>
  </si>
  <si>
    <t xml:space="preserve">SPCCC</t>
  </si>
  <si>
    <t xml:space="preserve">SPCCC-</t>
  </si>
  <si>
    <t xml:space="preserve">SPCC</t>
  </si>
  <si>
    <t xml:space="preserve">SPC</t>
  </si>
  <si>
    <t xml:space="preserve">SPD</t>
  </si>
  <si>
    <t>Quick Liquidity Dynamic Score D2 234</t>
  </si>
  <si>
    <t>Datatype myTqble extends Bank</t>
  </si>
  <si>
    <t>Type</t>
  </si>
  <si>
    <t>Name</t>
  </si>
  <si>
    <t>Default</t>
  </si>
  <si>
    <t>Mandatory</t>
  </si>
  <si>
    <t>Description</t>
  </si>
  <si>
    <t>Example</t>
  </si>
  <si>
    <t>String</t>
  </si>
  <si>
    <t>field1</t>
  </si>
  <si>
    <t xml:space="preserve">My тест cegth gjkt </t>
  </si>
  <si>
    <t>123</t>
  </si>
  <si>
    <t>tests123</t>
  </si>
</sst>
</file>

<file path=xl/styles.xml><?xml version="1.0" encoding="utf-8"?>
<styleSheet xmlns="http://schemas.openxmlformats.org/spreadsheetml/2006/main">
  <numFmts count="5">
    <numFmt numFmtId="164" formatCode="General"/>
    <numFmt numFmtId="165" formatCode="\$#,##0_);[RED]&quot;($&quot;#,##0\)"/>
    <numFmt numFmtId="166" formatCode="#,##0"/>
    <numFmt numFmtId="167" formatCode="General"/>
    <numFmt numFmtId="168" formatCode="[$€-2]\ #,##0.00"/>
  </numFmts>
  <fonts count="26">
    <font>
      <sz val="10"/>
      <name val="Palatino Linotype"/>
      <family val="0"/>
      <charset val="1"/>
    </font>
    <font>
      <sz val="10"/>
      <name val="Arial"/>
      <family val="0"/>
    </font>
    <font>
      <sz val="10"/>
      <name val="Arial"/>
      <family val="0"/>
    </font>
    <font>
      <sz val="10"/>
      <name val="Arial"/>
      <family val="0"/>
    </font>
    <font>
      <sz val="10"/>
      <name val="Arial"/>
      <family val="2"/>
      <charset val="204"/>
    </font>
    <font>
      <sz val="11"/>
      <color rgb="FF000000"/>
      <name val="Calibri"/>
      <family val="2"/>
      <charset val="1"/>
    </font>
    <font>
      <sz val="10"/>
      <name val="Palatino Linotype"/>
      <family val="1"/>
      <charset val="204"/>
    </font>
    <font>
      <u val="single"/>
      <sz val="10"/>
      <color rgb="FF0000FF"/>
      <name val="Palatino Linotype"/>
      <family val="1"/>
      <charset val="204"/>
    </font>
    <font>
      <b val="true"/>
      <sz val="15"/>
      <color rgb="FF1F497D"/>
      <name val="Calibri"/>
      <family val="2"/>
      <charset val="204"/>
    </font>
    <font>
      <sz val="10"/>
      <color rgb="FF4A452A"/>
      <name val="Palatino Linotype"/>
      <family val="1"/>
      <charset val="204"/>
    </font>
    <font>
      <b val="true"/>
      <sz val="14"/>
      <name val="Palatino Linotype"/>
      <family val="1"/>
      <charset val="204"/>
    </font>
    <font>
      <b val="true"/>
      <sz val="12"/>
      <color rgb="FFFFFFFF"/>
      <name val="Palatino Linotype"/>
      <family val="1"/>
      <charset val="1"/>
    </font>
    <font>
      <sz val="10"/>
      <color rgb="FF0000FF"/>
      <name val="Palatino Linotype"/>
      <family val="1"/>
      <charset val="204"/>
    </font>
    <font>
      <b val="true"/>
      <sz val="12"/>
      <name val="Palatino Linotype"/>
      <family val="1"/>
      <charset val="204"/>
    </font>
    <font>
      <b val="true"/>
      <sz val="10"/>
      <name val="Palatino Linotype"/>
      <family val="1"/>
      <charset val="204"/>
    </font>
    <font>
      <sz val="10"/>
      <color rgb="FF262626"/>
      <name val="Palatino Linotype"/>
      <family val="1"/>
      <charset val="204"/>
    </font>
    <font>
      <sz val="10"/>
      <name val="Palatino Linotype"/>
      <family val="1"/>
      <charset val="1"/>
    </font>
    <font>
      <b val="true"/>
      <sz val="12"/>
      <color rgb="FF4A452A"/>
      <name val="Palatino Linotype"/>
      <family val="1"/>
      <charset val="204"/>
    </font>
    <font>
      <b val="true"/>
      <sz val="12"/>
      <color rgb="FFFFFFFF"/>
      <name val="Palatino Linotype"/>
      <family val="1"/>
      <charset val="204"/>
    </font>
    <font>
      <sz val="10"/>
      <color rgb="FF948A54"/>
      <name val="Palatino Linotype"/>
      <family val="1"/>
      <charset val="204"/>
    </font>
    <font>
      <b val="true"/>
      <sz val="12"/>
      <name val="Palatino Linotype"/>
      <family val="1"/>
      <charset val="1"/>
    </font>
    <font>
      <sz val="10"/>
      <color rgb="FFA6A6A6"/>
      <name val="Palatino Linotype"/>
      <family val="1"/>
      <charset val="204"/>
    </font>
    <font>
      <sz val="10"/>
      <color rgb="FF000000"/>
      <name val="Arial"/>
      <family val="2"/>
      <charset val="204"/>
    </font>
    <font>
      <sz val="10"/>
      <color rgb="FF808080"/>
      <name val="Palatino Linotype"/>
      <family val="1"/>
      <charset val="1"/>
    </font>
    <font>
      <b val="true"/>
      <sz val="10"/>
      <color rgb="FF808080"/>
      <name val="Palatino Linotype"/>
      <family val="1"/>
      <charset val="1"/>
    </font>
    <font>
      <sz val="10"/>
      <color rgb="FFFFFFFF"/>
      <name val="Palatino Linotype"/>
      <family val="1"/>
      <charset val="204"/>
    </font>
  </fonts>
  <fills count="14">
    <fill>
      <patternFill patternType="none"/>
    </fill>
    <fill>
      <patternFill patternType="gray125"/>
    </fill>
    <fill>
      <patternFill patternType="solid">
        <fgColor rgb="FFF2F2F2"/>
        <bgColor rgb="FFEEECE1"/>
      </patternFill>
    </fill>
    <fill>
      <patternFill patternType="solid">
        <fgColor rgb="FFDDD9C3"/>
        <bgColor rgb="FFD7E4BD"/>
      </patternFill>
    </fill>
    <fill>
      <patternFill patternType="solid">
        <fgColor rgb="FF376092"/>
        <bgColor rgb="FF1F497D"/>
      </patternFill>
    </fill>
    <fill>
      <patternFill patternType="solid">
        <fgColor rgb="FF77933C"/>
        <bgColor rgb="FF948A54"/>
      </patternFill>
    </fill>
    <fill>
      <patternFill patternType="solid">
        <fgColor rgb="FFDCE6F2"/>
        <bgColor rgb="FFEEECE1"/>
      </patternFill>
    </fill>
    <fill>
      <patternFill patternType="solid">
        <fgColor rgb="FFD7E4BD"/>
        <bgColor rgb="FFDDD9C3"/>
      </patternFill>
    </fill>
    <fill>
      <patternFill patternType="solid">
        <fgColor rgb="FFB9CDE5"/>
        <bgColor rgb="FFC6D9F1"/>
      </patternFill>
    </fill>
    <fill>
      <patternFill patternType="solid">
        <fgColor rgb="FFC3D69B"/>
        <bgColor rgb="FFD7E4BD"/>
      </patternFill>
    </fill>
    <fill>
      <patternFill patternType="solid">
        <fgColor rgb="FF808080"/>
        <bgColor rgb="FF7F7F7F"/>
      </patternFill>
    </fill>
    <fill>
      <patternFill patternType="solid">
        <fgColor rgb="FFFFFFFF"/>
        <bgColor rgb="FFF2F2F2"/>
      </patternFill>
    </fill>
    <fill>
      <patternFill patternType="solid">
        <fgColor rgb="FFEBF1DE"/>
        <bgColor rgb="FFEEECE1"/>
      </patternFill>
    </fill>
    <fill>
      <patternFill patternType="solid">
        <fgColor rgb="FFC6D9F1"/>
        <bgColor rgb="FFB9CDE5"/>
      </patternFill>
    </fill>
  </fills>
  <borders count="117">
    <border diagonalUp="false" diagonalDown="false">
      <left/>
      <right/>
      <top/>
      <bottom/>
      <diagonal/>
    </border>
    <border diagonalUp="false" diagonalDown="false">
      <left/>
      <right/>
      <top/>
      <bottom style="thick">
        <color rgb="FF4F81BD"/>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right style="thin"/>
      <top style="thin"/>
      <bottom style="thin">
        <color rgb="FFC4BD97"/>
      </bottom>
      <diagonal/>
    </border>
    <border diagonalUp="false" diagonalDown="false">
      <left style="thin"/>
      <right/>
      <top/>
      <bottom style="medium"/>
      <diagonal/>
    </border>
    <border diagonalUp="false" diagonalDown="false">
      <left style="thin">
        <color rgb="FFC4BD97"/>
      </left>
      <right style="thin">
        <color rgb="FFC4BD97"/>
      </right>
      <top/>
      <bottom style="medium"/>
      <diagonal/>
    </border>
    <border diagonalUp="false" diagonalDown="false">
      <left style="thin">
        <color rgb="FFC4BD97"/>
      </left>
      <right style="thin"/>
      <top style="thin">
        <color rgb="FFC4BD97"/>
      </top>
      <bottom style="medium"/>
      <diagonal/>
    </border>
    <border diagonalUp="false" diagonalDown="false">
      <left style="medium"/>
      <right style="thin"/>
      <top style="medium"/>
      <bottom style="medium"/>
      <diagonal/>
    </border>
    <border diagonalUp="false" diagonalDown="false">
      <left/>
      <right style="thin"/>
      <top style="medium"/>
      <bottom style="medium"/>
      <diagonal/>
    </border>
    <border diagonalUp="false" diagonalDown="false">
      <left style="thin"/>
      <right style="medium"/>
      <top style="medium"/>
      <bottom style="medium"/>
      <diagonal/>
    </border>
    <border diagonalUp="false" diagonalDown="false">
      <left style="medium"/>
      <right/>
      <top style="thin"/>
      <bottom/>
      <diagonal/>
    </border>
    <border diagonalUp="false" diagonalDown="false">
      <left style="hair"/>
      <right style="hair"/>
      <top style="medium"/>
      <bottom/>
      <diagonal/>
    </border>
    <border diagonalUp="false" diagonalDown="false">
      <left/>
      <right style="medium"/>
      <top style="thin"/>
      <bottom/>
      <diagonal/>
    </border>
    <border diagonalUp="false" diagonalDown="false">
      <left style="medium"/>
      <right/>
      <top/>
      <bottom/>
      <diagonal/>
    </border>
    <border diagonalUp="false" diagonalDown="false">
      <left/>
      <right style="medium"/>
      <top/>
      <bottom/>
      <diagonal/>
    </border>
    <border diagonalUp="false" diagonalDown="false">
      <left style="hair"/>
      <right style="hair"/>
      <top style="thin"/>
      <bottom/>
      <diagonal/>
    </border>
    <border diagonalUp="false" diagonalDown="false">
      <left style="hair"/>
      <right style="hair"/>
      <top/>
      <bottom/>
      <diagonal/>
    </border>
    <border diagonalUp="false" diagonalDown="false">
      <left style="medium"/>
      <right/>
      <top style="thin"/>
      <bottom style="double"/>
      <diagonal/>
    </border>
    <border diagonalUp="false" diagonalDown="false">
      <left style="hair"/>
      <right style="hair"/>
      <top style="thin"/>
      <bottom style="double"/>
      <diagonal/>
    </border>
    <border diagonalUp="false" diagonalDown="false">
      <left/>
      <right style="medium"/>
      <top style="thin"/>
      <bottom style="double"/>
      <diagonal/>
    </border>
    <border diagonalUp="false" diagonalDown="false">
      <left style="medium"/>
      <right style="hair"/>
      <top style="double"/>
      <bottom style="medium"/>
      <diagonal/>
    </border>
    <border diagonalUp="false" diagonalDown="false">
      <left style="hair"/>
      <right style="hair"/>
      <top style="double"/>
      <bottom style="medium"/>
      <diagonal/>
    </border>
    <border diagonalUp="false" diagonalDown="false">
      <left/>
      <right style="medium"/>
      <top style="double"/>
      <bottom style="medium"/>
      <diagonal/>
    </border>
    <border diagonalUp="false" diagonalDown="false">
      <left style="medium"/>
      <right/>
      <top/>
      <bottom style="thin"/>
      <diagonal/>
    </border>
    <border diagonalUp="false" diagonalDown="false">
      <left style="hair"/>
      <right style="hair"/>
      <top/>
      <bottom style="thin"/>
      <diagonal/>
    </border>
    <border diagonalUp="false" diagonalDown="false">
      <left/>
      <right style="medium"/>
      <top/>
      <bottom style="thin"/>
      <diagonal/>
    </border>
    <border diagonalUp="false" diagonalDown="false">
      <left style="hair"/>
      <right style="hair"/>
      <top style="medium"/>
      <bottom style="thin"/>
      <diagonal/>
    </border>
    <border diagonalUp="false" diagonalDown="false">
      <left style="medium"/>
      <right style="hair"/>
      <top/>
      <bottom/>
      <diagonal/>
    </border>
    <border diagonalUp="false" diagonalDown="false">
      <left style="hair"/>
      <right style="medium"/>
      <top/>
      <bottom/>
      <diagonal/>
    </border>
    <border diagonalUp="false" diagonalDown="false">
      <left style="thin"/>
      <right style="thin"/>
      <top style="thin"/>
      <bottom style="thin"/>
      <diagonal/>
    </border>
    <border diagonalUp="false" diagonalDown="false">
      <left style="thin"/>
      <right style="thin">
        <color rgb="FFBFBFBF"/>
      </right>
      <top style="thin"/>
      <bottom style="thin">
        <color rgb="FFBFBFBF"/>
      </bottom>
      <diagonal/>
    </border>
    <border diagonalUp="false" diagonalDown="false">
      <left style="thin">
        <color rgb="FFBFBFBF"/>
      </left>
      <right style="thin">
        <color rgb="FFBFBFBF"/>
      </right>
      <top style="thin"/>
      <bottom style="thin">
        <color rgb="FFBFBFBF"/>
      </bottom>
      <diagonal/>
    </border>
    <border diagonalUp="false" diagonalDown="false">
      <left style="thin">
        <color rgb="FFBFBFBF"/>
      </left>
      <right style="thin"/>
      <top style="thin"/>
      <bottom style="thin">
        <color rgb="FFBFBFBF"/>
      </bottom>
      <diagonal/>
    </border>
    <border diagonalUp="false" diagonalDown="false">
      <left style="thin"/>
      <right style="thin">
        <color rgb="FFBFBFBF"/>
      </right>
      <top style="thin">
        <color rgb="FFBFBFBF"/>
      </top>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top style="thin">
        <color rgb="FFBFBFBF"/>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color rgb="FFBFBFBF"/>
      </right>
      <top style="thin">
        <color rgb="FFBFBFBF"/>
      </top>
      <bottom style="thin"/>
      <diagonal/>
    </border>
    <border diagonalUp="false" diagonalDown="false">
      <left style="thin">
        <color rgb="FFBFBFBF"/>
      </left>
      <right style="thin"/>
      <top style="thin">
        <color rgb="FFBFBFBF"/>
      </top>
      <bottom style="thin"/>
      <diagonal/>
    </border>
    <border diagonalUp="false" diagonalDown="false">
      <left style="medium"/>
      <right style="hair"/>
      <top/>
      <bottom style="hair"/>
      <diagonal/>
    </border>
    <border diagonalUp="false" diagonalDown="false">
      <left style="hair"/>
      <right style="medium"/>
      <top/>
      <bottom style="hair"/>
      <diagonal/>
    </border>
    <border diagonalUp="false" diagonalDown="false">
      <left style="medium"/>
      <right style="hair"/>
      <top style="hair"/>
      <bottom style="hair"/>
      <diagonal/>
    </border>
    <border diagonalUp="false" diagonalDown="false">
      <left style="hair"/>
      <right style="medium"/>
      <top style="hair"/>
      <bottom style="hair"/>
      <diagonal/>
    </border>
    <border diagonalUp="false" diagonalDown="false">
      <left style="medium"/>
      <right style="hair"/>
      <top style="hair"/>
      <bottom style="medium"/>
      <diagonal/>
    </border>
    <border diagonalUp="false" diagonalDown="false">
      <left style="hair"/>
      <right style="medium"/>
      <top style="hair"/>
      <bottom style="medium"/>
      <diagonal/>
    </border>
    <border diagonalUp="false" diagonalDown="false">
      <left style="thin"/>
      <right style="thin"/>
      <top style="thin"/>
      <bottom/>
      <diagonal/>
    </border>
    <border diagonalUp="false" diagonalDown="false">
      <left style="thin"/>
      <right style="thin">
        <color rgb="FFBFBFBF"/>
      </right>
      <top/>
      <bottom style="thin">
        <color rgb="FFBFBFBF"/>
      </bottom>
      <diagonal/>
    </border>
    <border diagonalUp="false" diagonalDown="false">
      <left style="thin">
        <color rgb="FFBFBFBF"/>
      </left>
      <right style="thin"/>
      <top/>
      <bottom style="thin">
        <color rgb="FFBFBFBF"/>
      </bottom>
      <diagonal/>
    </border>
    <border diagonalUp="false" diagonalDown="false">
      <left style="medium"/>
      <right style="thin"/>
      <top style="thin"/>
      <bottom style="thin"/>
      <diagonal/>
    </border>
    <border diagonalUp="false" diagonalDown="false">
      <left style="thin"/>
      <right style="medium"/>
      <top/>
      <bottom/>
      <diagonal/>
    </border>
    <border diagonalUp="false" diagonalDown="false">
      <left style="thin"/>
      <right style="medium"/>
      <top style="thin"/>
      <bottom style="thin"/>
      <diagonal/>
    </border>
    <border diagonalUp="false" diagonalDown="false">
      <left style="thin"/>
      <right style="thin"/>
      <top style="medium"/>
      <bottom style="medium"/>
      <diagonal/>
    </border>
    <border diagonalUp="false" diagonalDown="false">
      <left style="hair"/>
      <right style="hair"/>
      <top style="medium"/>
      <bottom style="hair"/>
      <diagonal/>
    </border>
    <border diagonalUp="false" diagonalDown="false">
      <left style="hair"/>
      <right style="hair"/>
      <top style="hair"/>
      <bottom style="medium"/>
      <diagonal/>
    </border>
    <border diagonalUp="false" diagonalDown="false">
      <left/>
      <right/>
      <top style="thick">
        <color rgb="FF4F81BD"/>
      </top>
      <bottom/>
      <diagonal/>
    </border>
    <border diagonalUp="false" diagonalDown="false">
      <left style="hair"/>
      <right style="hair"/>
      <top style="hair"/>
      <bottom style="hair"/>
      <diagonal/>
    </border>
    <border diagonalUp="false" diagonalDown="false">
      <left style="thin"/>
      <right/>
      <top style="medium"/>
      <bottom style="hair"/>
      <diagonal/>
    </border>
    <border diagonalUp="false" diagonalDown="false">
      <left style="hair"/>
      <right style="medium"/>
      <top style="medium"/>
      <bottom style="hair"/>
      <diagonal/>
    </border>
    <border diagonalUp="false" diagonalDown="false">
      <left style="hair"/>
      <right/>
      <top style="hair"/>
      <bottom style="medium"/>
      <diagonal/>
    </border>
    <border diagonalUp="false" diagonalDown="false">
      <left style="hair"/>
      <right/>
      <top style="medium"/>
      <bottom style="hair"/>
      <diagonal/>
    </border>
    <border diagonalUp="false" diagonalDown="false">
      <left/>
      <right style="medium"/>
      <top/>
      <bottom style="hair"/>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thin"/>
      <right/>
      <top/>
      <bottom style="thin">
        <color rgb="FFBFBFBF"/>
      </bottom>
      <diagonal/>
    </border>
    <border diagonalUp="false" diagonalDown="false">
      <left style="thin">
        <color rgb="FFC4BD97"/>
      </left>
      <right style="thin">
        <color rgb="FFC4BD97"/>
      </right>
      <top/>
      <bottom style="thin">
        <color rgb="FFC4BD97"/>
      </bottom>
      <diagonal/>
    </border>
    <border diagonalUp="false" diagonalDown="false">
      <left style="thin">
        <color rgb="FFC4BD97"/>
      </left>
      <right style="thin">
        <color rgb="FFBFBFBF"/>
      </right>
      <top/>
      <bottom/>
      <diagonal/>
    </border>
    <border diagonalUp="false" diagonalDown="false">
      <left style="thin"/>
      <right style="thin">
        <color rgb="FFBFBFBF"/>
      </right>
      <top style="thin">
        <color rgb="FFBFBFBF"/>
      </top>
      <bottom style="thin">
        <color rgb="FFBFBFBF"/>
      </bottom>
      <diagonal/>
    </border>
    <border diagonalUp="false" diagonalDown="false">
      <left style="thin">
        <color rgb="FFBFBFBF"/>
      </left>
      <right style="thin">
        <color rgb="FFBFBFBF"/>
      </right>
      <top style="thin">
        <color rgb="FFC4BD97"/>
      </top>
      <bottom style="thin">
        <color rgb="FFBFBFBF"/>
      </bottom>
      <diagonal/>
    </border>
    <border diagonalUp="false" diagonalDown="false">
      <left style="thin">
        <color rgb="FFBFBFBF"/>
      </left>
      <right style="thin"/>
      <top style="thin">
        <color rgb="FFBFBFBF"/>
      </top>
      <bottom style="thin">
        <color rgb="FFBFBFBF"/>
      </bottom>
      <diagonal/>
    </border>
    <border diagonalUp="false" diagonalDown="false">
      <left style="thin"/>
      <right style="thin">
        <color rgb="FFBFBFBF"/>
      </right>
      <top/>
      <bottom/>
      <diagonal/>
    </border>
    <border diagonalUp="false" diagonalDown="false">
      <left style="thin"/>
      <right style="hair"/>
      <top style="medium"/>
      <bottom style="hair"/>
      <diagonal/>
    </border>
    <border diagonalUp="false" diagonalDown="false">
      <left style="thin"/>
      <right style="hair"/>
      <top style="hair"/>
      <bottom/>
      <diagonal/>
    </border>
    <border diagonalUp="false" diagonalDown="false">
      <left style="hair"/>
      <right style="hair"/>
      <top style="hair"/>
      <bottom/>
      <diagonal/>
    </border>
    <border diagonalUp="false" diagonalDown="false">
      <left style="hair"/>
      <right style="medium"/>
      <top style="hair"/>
      <bottom/>
      <diagonal/>
    </border>
    <border diagonalUp="false" diagonalDown="false">
      <left style="medium"/>
      <right/>
      <top/>
      <bottom style="hair"/>
      <diagonal/>
    </border>
    <border diagonalUp="false" diagonalDown="false">
      <left style="medium"/>
      <right/>
      <top style="hair"/>
      <bottom style="hair"/>
      <diagonal/>
    </border>
    <border diagonalUp="false" diagonalDown="false">
      <left style="medium"/>
      <right/>
      <top style="hair"/>
      <bottom style="medium"/>
      <diagonal/>
    </border>
    <border diagonalUp="false" diagonalDown="false">
      <left style="thin"/>
      <right/>
      <top style="thin">
        <color rgb="FFC4BD97"/>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hair"/>
      <top style="thin"/>
      <bottom style="hair"/>
      <diagonal/>
    </border>
    <border diagonalUp="false" diagonalDown="false">
      <left style="thin"/>
      <right style="thin"/>
      <top style="thin"/>
      <bottom style="hair"/>
      <diagonal/>
    </border>
    <border diagonalUp="false" diagonalDown="false">
      <left style="thin"/>
      <right style="hair"/>
      <top style="hair"/>
      <bottom style="hair"/>
      <diagonal/>
    </border>
    <border diagonalUp="false" diagonalDown="false">
      <left style="thin"/>
      <right style="thin"/>
      <top style="hair"/>
      <bottom style="hair"/>
      <diagonal/>
    </border>
    <border diagonalUp="false" diagonalDown="false">
      <left style="thin"/>
      <right style="hair"/>
      <top style="hair"/>
      <bottom style="thin"/>
      <diagonal/>
    </border>
    <border diagonalUp="false" diagonalDown="false">
      <left style="thin"/>
      <right style="thin"/>
      <top style="hair"/>
      <bottom style="thin"/>
      <diagonal/>
    </border>
    <border diagonalUp="false" diagonalDown="false">
      <left style="thin"/>
      <right style="hair"/>
      <top style="thin"/>
      <bottom style="thin"/>
      <diagonal/>
    </border>
    <border diagonalUp="false" diagonalDown="false">
      <left style="thin"/>
      <right style="thin"/>
      <top/>
      <bottom style="medium"/>
      <diagonal/>
    </border>
    <border diagonalUp="false" diagonalDown="false">
      <left style="hair"/>
      <right style="thin"/>
      <top style="hair"/>
      <bottom style="hair"/>
      <diagonal/>
    </border>
    <border diagonalUp="false" diagonalDown="false">
      <left style="hair"/>
      <right style="thin"/>
      <top style="hair"/>
      <bottom style="thin"/>
      <diagonal/>
    </border>
    <border diagonalUp="false" diagonalDown="false">
      <left style="hair"/>
      <right style="thin"/>
      <top style="thin"/>
      <bottom style="hair"/>
      <diagonal/>
    </border>
    <border diagonalUp="false" diagonalDown="false">
      <left style="hair"/>
      <right style="thin"/>
      <top/>
      <bottom style="hair"/>
      <diagonal/>
    </border>
    <border diagonalUp="false" diagonalDown="false">
      <left style="thin"/>
      <right style="thin"/>
      <top style="hair"/>
      <bottom/>
      <diagonal/>
    </border>
    <border diagonalUp="false" diagonalDown="false">
      <left style="hair"/>
      <right style="thin"/>
      <top/>
      <bottom style="thin"/>
      <diagonal/>
    </border>
    <border diagonalUp="false" diagonalDown="false">
      <left style="thin"/>
      <right style="hair"/>
      <top/>
      <bottom style="hair"/>
      <diagonal/>
    </border>
    <border diagonalUp="false" diagonalDown="false">
      <left style="thin">
        <color rgb="FF808080"/>
      </left>
      <right/>
      <top style="thin">
        <color rgb="FF808080"/>
      </top>
      <bottom/>
      <diagonal/>
    </border>
    <border diagonalUp="false" diagonalDown="false">
      <left/>
      <right style="thin">
        <color rgb="FF808080"/>
      </right>
      <top style="thin">
        <color rgb="FF808080"/>
      </top>
      <bottom/>
      <diagonal/>
    </border>
    <border diagonalUp="false" diagonalDown="false">
      <left style="thin">
        <color rgb="FF808080"/>
      </left>
      <right/>
      <top/>
      <bottom style="thin">
        <color rgb="FF808080"/>
      </bottom>
      <diagonal/>
    </border>
    <border diagonalUp="false" diagonalDown="false">
      <left/>
      <right style="thin">
        <color rgb="FF808080"/>
      </right>
      <top/>
      <bottom style="thin">
        <color rgb="FF808080"/>
      </bottom>
      <diagonal/>
    </border>
    <border diagonalUp="false" diagonalDown="false">
      <left/>
      <right/>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style="thin">
        <color rgb="FFBFBFBF"/>
      </left>
      <right/>
      <top/>
      <bottom style="thin">
        <color rgb="FFBFBFBF"/>
      </bottom>
      <diagonal/>
    </border>
    <border diagonalUp="false" diagonalDown="false">
      <left style="thin"/>
      <right style="thin">
        <color rgb="FFBFBFBF"/>
      </right>
      <top/>
      <bottom style="thin"/>
      <diagonal/>
    </border>
    <border diagonalUp="false" diagonalDown="false">
      <left style="thin">
        <color rgb="FFBFBFBF"/>
      </left>
      <right style="thin">
        <color rgb="FFBFBFBF"/>
      </right>
      <top style="thin">
        <color rgb="FFBFBFBF"/>
      </top>
      <bottom style="thin"/>
      <diagonal/>
    </border>
    <border diagonalUp="false" diagonalDown="false">
      <left style="thin">
        <color rgb="FFBFBFBF"/>
      </left>
      <right/>
      <top style="thin">
        <color rgb="FFBFBFBF"/>
      </top>
      <bottom style="thin"/>
      <diagonal/>
    </border>
    <border diagonalUp="false" diagonalDown="false">
      <left style="thin"/>
      <right/>
      <top/>
      <bottom/>
      <diagonal/>
    </border>
    <border diagonalUp="false" diagonalDown="false">
      <left style="thin">
        <color rgb="FFBFBFBF"/>
      </left>
      <right/>
      <top/>
      <bottom style="thin"/>
      <diagonal/>
    </border>
    <border diagonalUp="false" diagonalDown="false">
      <left style="thin">
        <color rgb="FFBFBFBF"/>
      </left>
      <right style="thin">
        <color rgb="FFBFBFBF"/>
      </right>
      <top/>
      <bottom style="thin"/>
      <diagonal/>
    </border>
    <border diagonalUp="false" diagonalDown="false">
      <left style="thin">
        <color rgb="FFBFBFBF"/>
      </left>
      <right style="thin"/>
      <top/>
      <bottom style="thin"/>
      <diagonal/>
    </border>
    <border diagonalUp="false" diagonalDown="false">
      <left/>
      <right style="thin">
        <color rgb="FFBFBFBF"/>
      </right>
      <top/>
      <bottom style="thin"/>
      <diagonal/>
    </border>
    <border diagonalUp="false" diagonalDown="false">
      <left style="thin"/>
      <right style="thin">
        <color rgb="FFC4BD97"/>
      </right>
      <top/>
      <bottom style="thin"/>
      <diagonal/>
    </border>
  </borders>
  <cellStyleXfs count="4">
    <xf numFmtId="164" fontId="0" fillId="0" borderId="0" applyFont="true" applyBorder="true" applyAlignment="true" applyProtection="true" xfId="0">
      <alignment horizontal="general" vertical="bottom" textRotation="0" wrapText="false" indent="0" shrinkToFit="false"/>
      <protection locked="true" hidden="false"/>
    </xf>
    <xf numFmtId="164" fontId="6" fillId="0" borderId="0" applyFont="true" applyBorder="true" applyAlignment="true" applyProtection="true" xfId="1">
      <alignment horizontal="general" vertical="bottom" textRotation="0" wrapText="false" indent="0" shrinkToFit="false"/>
      <protection locked="true" hidden="false"/>
    </xf>
    <xf numFmtId="164" fontId="4" fillId="0" borderId="0" applyFont="true" applyBorder="true" applyAlignment="true" applyProtection="true" xfId="2">
      <alignment horizontal="general" vertical="bottom" textRotation="0" wrapText="false" indent="0" shrinkToFit="false"/>
      <protection locked="true" hidden="false"/>
    </xf>
    <xf numFmtId="164" fontId="8" fillId="0" borderId="1" applyFont="true" applyBorder="true" applyAlignment="true" applyProtection="false" xfId="3">
      <alignment horizontal="general" vertical="bottom" textRotation="0" wrapText="false" indent="0" shrinkToFit="false"/>
    </xf>
  </cellStyleXfs>
  <cellXfs count="2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1"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0" borderId="1" xfId="3" applyFont="true" applyBorder="false" applyAlignment="true" applyProtection="true">
      <alignment horizontal="general" vertical="bottom" textRotation="0" wrapText="false" indent="0" shrinkToFit="false"/>
      <protection locked="true" hidden="false"/>
    </xf>
    <xf numFmtId="164" fontId="6" fillId="2" borderId="2"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9" fillId="3" borderId="3" xfId="0" applyFont="true" applyBorder="true" applyAlignment="true" applyProtection="false">
      <alignment horizontal="center" vertical="bottom" textRotation="0" wrapText="false" indent="0" shrinkToFit="false"/>
      <protection locked="true" hidden="false"/>
    </xf>
    <xf numFmtId="164" fontId="9" fillId="2" borderId="4" xfId="0" applyFont="true" applyBorder="true" applyAlignment="true" applyProtection="false">
      <alignment horizontal="left" vertical="bottom" textRotation="0" wrapText="true" indent="0" shrinkToFit="false"/>
      <protection locked="true" hidden="false"/>
    </xf>
    <xf numFmtId="164" fontId="9" fillId="2" borderId="5" xfId="0" applyFont="true" applyBorder="true" applyAlignment="true" applyProtection="false">
      <alignment horizontal="left" vertical="bottom" textRotation="0" wrapText="true" indent="0" shrinkToFit="false"/>
      <protection locked="true" hidden="false"/>
    </xf>
    <xf numFmtId="164" fontId="6" fillId="2" borderId="6" xfId="0" applyFont="true" applyBorder="true" applyAlignment="true" applyProtection="false">
      <alignment horizontal="left" vertical="center" textRotation="0" wrapText="true" indent="0" shrinkToFit="false"/>
      <protection locked="true" hidden="false"/>
    </xf>
    <xf numFmtId="164" fontId="11" fillId="4" borderId="7" xfId="0" applyFont="true" applyBorder="true" applyAlignment="true" applyProtection="false">
      <alignment horizontal="center" vertical="center" textRotation="0" wrapText="false" indent="0" shrinkToFit="false"/>
      <protection locked="true" hidden="false"/>
    </xf>
    <xf numFmtId="164" fontId="11" fillId="4" borderId="8" xfId="0" applyFont="true" applyBorder="true" applyAlignment="true" applyProtection="false">
      <alignment horizontal="center" vertical="center" textRotation="0" wrapText="false" indent="0" shrinkToFit="false"/>
      <protection locked="true" hidden="false"/>
    </xf>
    <xf numFmtId="164" fontId="11" fillId="5" borderId="9" xfId="0" applyFont="true" applyBorder="true" applyAlignment="true" applyProtection="false">
      <alignment horizontal="center" vertical="center" textRotation="0" wrapText="false" indent="0" shrinkToFit="false"/>
      <protection locked="true" hidden="false"/>
    </xf>
    <xf numFmtId="164" fontId="6" fillId="0" borderId="0" xfId="1" applyFont="false" applyBorder="false" applyAlignment="false" applyProtection="false">
      <alignment horizontal="general" vertical="bottom" textRotation="0" wrapText="false" indent="0" shrinkToFit="false"/>
      <protection locked="true" hidden="false"/>
    </xf>
    <xf numFmtId="164" fontId="6" fillId="6" borderId="10" xfId="0" applyFont="true" applyBorder="true" applyAlignment="true" applyProtection="false">
      <alignment horizontal="left" vertical="bottom" textRotation="0" wrapText="true" indent="0" shrinkToFit="false"/>
      <protection locked="true" hidden="false"/>
    </xf>
    <xf numFmtId="164" fontId="6" fillId="6" borderId="11" xfId="0" applyFont="true" applyBorder="true" applyAlignment="true" applyProtection="false">
      <alignment horizontal="left" vertical="bottom" textRotation="0" wrapText="true" indent="0" shrinkToFit="false"/>
      <protection locked="true" hidden="false"/>
    </xf>
    <xf numFmtId="164" fontId="6" fillId="7" borderId="12" xfId="0" applyFont="true" applyBorder="true" applyAlignment="true" applyProtection="false">
      <alignment horizontal="general" vertical="bottom" textRotation="0" wrapText="true" indent="0" shrinkToFit="false"/>
      <protection locked="true" hidden="false"/>
    </xf>
    <xf numFmtId="164" fontId="12" fillId="0" borderId="0" xfId="1" applyFont="true" applyBorder="false" applyAlignment="false" applyProtection="false">
      <alignment horizontal="general" vertical="bottom" textRotation="0" wrapText="false" indent="0" shrinkToFit="false"/>
      <protection locked="true" hidden="false"/>
    </xf>
    <xf numFmtId="164" fontId="6" fillId="6" borderId="13" xfId="0" applyFont="true" applyBorder="true" applyAlignment="true" applyProtection="false">
      <alignment horizontal="left" vertical="bottom" textRotation="0" wrapText="true" indent="0" shrinkToFit="false"/>
      <protection locked="true" hidden="false"/>
    </xf>
    <xf numFmtId="164" fontId="6" fillId="7" borderId="14" xfId="0" applyFont="true" applyBorder="true" applyAlignment="true" applyProtection="false">
      <alignment horizontal="general" vertical="bottom" textRotation="0" wrapText="true" indent="0" shrinkToFit="false"/>
      <protection locked="true" hidden="false"/>
    </xf>
    <xf numFmtId="164" fontId="6" fillId="6" borderId="15" xfId="0" applyFont="true" applyBorder="true" applyAlignment="true" applyProtection="false">
      <alignment horizontal="left" vertical="bottom" textRotation="0" wrapText="true" indent="0" shrinkToFit="false"/>
      <protection locked="true" hidden="false"/>
    </xf>
    <xf numFmtId="164" fontId="6" fillId="6" borderId="16" xfId="0" applyFont="true" applyBorder="true" applyAlignment="true" applyProtection="false">
      <alignment horizontal="left" vertical="top" textRotation="0" wrapText="true" indent="0" shrinkToFit="false"/>
      <protection locked="true" hidden="false"/>
    </xf>
    <xf numFmtId="164" fontId="6" fillId="6" borderId="15" xfId="0" applyFont="true" applyBorder="true" applyAlignment="true" applyProtection="false">
      <alignment horizontal="left" vertical="center" textRotation="0" wrapText="true" indent="0" shrinkToFit="false"/>
      <protection locked="true" hidden="false"/>
    </xf>
    <xf numFmtId="164" fontId="6" fillId="6" borderId="16" xfId="0" applyFont="true" applyBorder="true" applyAlignment="true" applyProtection="false">
      <alignment horizontal="left" vertical="bottom" textRotation="0" wrapText="true" indent="0" shrinkToFit="false"/>
      <protection locked="true" hidden="false"/>
    </xf>
    <xf numFmtId="164" fontId="6" fillId="6" borderId="17" xfId="0" applyFont="true" applyBorder="true" applyAlignment="true" applyProtection="false">
      <alignment horizontal="left" vertical="bottom" textRotation="0" wrapText="true" indent="0" shrinkToFit="false"/>
      <protection locked="true" hidden="false"/>
    </xf>
    <xf numFmtId="164" fontId="6" fillId="6" borderId="18" xfId="0" applyFont="true" applyBorder="true" applyAlignment="true" applyProtection="false">
      <alignment horizontal="left" vertical="bottom" textRotation="0" wrapText="true" indent="0" shrinkToFit="false"/>
      <protection locked="true" hidden="false"/>
    </xf>
    <xf numFmtId="164" fontId="6" fillId="7" borderId="19" xfId="0" applyFont="true" applyBorder="true" applyAlignment="true" applyProtection="false">
      <alignment horizontal="general" vertical="bottom" textRotation="0" wrapText="true" indent="0" shrinkToFit="false"/>
      <protection locked="true" hidden="false"/>
    </xf>
    <xf numFmtId="164" fontId="13" fillId="8" borderId="20" xfId="0" applyFont="true" applyBorder="true" applyAlignment="true" applyProtection="false">
      <alignment horizontal="left" vertical="bottom" textRotation="0" wrapText="true" indent="0" shrinkToFit="false"/>
      <protection locked="true" hidden="false"/>
    </xf>
    <xf numFmtId="164" fontId="6" fillId="8" borderId="21" xfId="0" applyFont="true" applyBorder="true" applyAlignment="true" applyProtection="false">
      <alignment horizontal="left" vertical="bottom" textRotation="0" wrapText="true" indent="0" shrinkToFit="false"/>
      <protection locked="true" hidden="false"/>
    </xf>
    <xf numFmtId="164" fontId="13" fillId="5" borderId="22" xfId="0" applyFont="true" applyBorder="true" applyAlignment="true" applyProtection="false">
      <alignment horizontal="general" vertical="bottom" textRotation="0" wrapText="true" indent="0" shrinkToFit="false"/>
      <protection locked="true" hidden="false"/>
    </xf>
    <xf numFmtId="164" fontId="7" fillId="0" borderId="0" xfId="1" applyFont="true" applyBorder="false" applyAlignment="true" applyProtection="false">
      <alignment horizontal="general" vertical="bottom" textRotation="0" wrapText="false" indent="0" shrinkToFit="false"/>
      <protection locked="true" hidden="false"/>
    </xf>
    <xf numFmtId="164" fontId="6" fillId="6" borderId="23" xfId="0" applyFont="true" applyBorder="true" applyAlignment="true" applyProtection="false">
      <alignment horizontal="left" vertical="bottom" textRotation="0" wrapText="true" indent="0" shrinkToFit="false"/>
      <protection locked="true" hidden="false"/>
    </xf>
    <xf numFmtId="164" fontId="6" fillId="6" borderId="24" xfId="0" applyFont="true" applyBorder="true" applyAlignment="true" applyProtection="false">
      <alignment horizontal="left" vertical="bottom" textRotation="0" wrapText="true" indent="0" shrinkToFit="false"/>
      <protection locked="true" hidden="false"/>
    </xf>
    <xf numFmtId="164" fontId="6" fillId="7" borderId="25" xfId="0" applyFont="true" applyBorder="true" applyAlignment="true" applyProtection="false">
      <alignment horizontal="general" vertical="bottom" textRotation="0" wrapText="true" indent="0" shrinkToFit="false"/>
      <protection locked="true" hidden="false"/>
    </xf>
    <xf numFmtId="164" fontId="6" fillId="8" borderId="2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6" fillId="6" borderId="24" xfId="0" applyFont="true" applyBorder="true" applyAlignment="true" applyProtection="false">
      <alignment horizontal="left" vertical="center" textRotation="0" wrapText="true" indent="0" shrinkToFit="false"/>
      <protection locked="true" hidden="false"/>
    </xf>
    <xf numFmtId="164" fontId="6" fillId="6" borderId="26" xfId="0" applyFont="true" applyBorder="true" applyAlignment="true" applyProtection="false">
      <alignment horizontal="left" vertical="center" textRotation="0" wrapText="true" indent="0" shrinkToFit="false"/>
      <protection locked="true" hidden="false"/>
    </xf>
    <xf numFmtId="164" fontId="6" fillId="6" borderId="27" xfId="0" applyFont="true" applyBorder="true" applyAlignment="true" applyProtection="false">
      <alignment horizontal="left" vertical="bottom" textRotation="0" wrapText="true" indent="0" shrinkToFit="false"/>
      <protection locked="true" hidden="false"/>
    </xf>
    <xf numFmtId="164" fontId="6" fillId="7" borderId="28" xfId="0" applyFont="true" applyBorder="true" applyAlignment="true" applyProtection="false">
      <alignment horizontal="general" vertical="bottom" textRotation="0" wrapText="true" indent="0" shrinkToFit="false"/>
      <protection locked="true" hidden="false"/>
    </xf>
    <xf numFmtId="164" fontId="6" fillId="6" borderId="11" xfId="0" applyFont="true" applyBorder="true" applyAlignment="true" applyProtection="false">
      <alignment horizontal="center" vertical="center" textRotation="0" wrapText="true" indent="0" shrinkToFit="false"/>
      <protection locked="true" hidden="false"/>
    </xf>
    <xf numFmtId="164" fontId="6" fillId="3" borderId="29" xfId="0" applyFont="true" applyBorder="true" applyAlignment="true" applyProtection="false">
      <alignment horizontal="center" vertical="bottom" textRotation="0" wrapText="true" indent="0" shrinkToFit="false"/>
      <protection locked="true" hidden="false"/>
    </xf>
    <xf numFmtId="164" fontId="9" fillId="2" borderId="30" xfId="0" applyFont="true" applyBorder="true" applyAlignment="true" applyProtection="false">
      <alignment horizontal="general" vertical="bottom" textRotation="0" wrapText="true" indent="0" shrinkToFit="false"/>
      <protection locked="true" hidden="false"/>
    </xf>
    <xf numFmtId="164" fontId="9" fillId="2" borderId="31" xfId="0" applyFont="true" applyBorder="true" applyAlignment="true" applyProtection="false">
      <alignment horizontal="general" vertical="bottom" textRotation="0" wrapText="true" indent="0" shrinkToFit="false"/>
      <protection locked="true" hidden="false"/>
    </xf>
    <xf numFmtId="164" fontId="9" fillId="2" borderId="32" xfId="0" applyFont="true" applyBorder="true" applyAlignment="true" applyProtection="false">
      <alignment horizontal="general" vertical="bottom" textRotation="0" wrapText="true" indent="0" shrinkToFit="false"/>
      <protection locked="true" hidden="false"/>
    </xf>
    <xf numFmtId="164" fontId="9" fillId="2" borderId="33" xfId="0" applyFont="true" applyBorder="true" applyAlignment="true" applyProtection="false">
      <alignment horizontal="general" vertical="bottom" textRotation="0" wrapText="true" indent="0" shrinkToFit="false"/>
      <protection locked="true" hidden="false"/>
    </xf>
    <xf numFmtId="164" fontId="9" fillId="2" borderId="34" xfId="0" applyFont="true" applyBorder="true" applyAlignment="true" applyProtection="false">
      <alignment horizontal="general" vertical="bottom" textRotation="0" wrapText="true" indent="0" shrinkToFit="false"/>
      <protection locked="true" hidden="false"/>
    </xf>
    <xf numFmtId="164" fontId="9" fillId="2" borderId="35" xfId="0" applyFont="true" applyBorder="true" applyAlignment="true" applyProtection="false">
      <alignment horizontal="general" vertical="bottom" textRotation="0" wrapText="true" indent="0" shrinkToFit="false"/>
      <protection locked="true" hidden="false"/>
    </xf>
    <xf numFmtId="164" fontId="14" fillId="8" borderId="36" xfId="0" applyFont="true" applyBorder="true" applyAlignment="true" applyProtection="false">
      <alignment horizontal="general" vertical="bottom" textRotation="0" wrapText="true" indent="0" shrinkToFit="false"/>
      <protection locked="true" hidden="false"/>
    </xf>
    <xf numFmtId="164" fontId="14" fillId="9" borderId="37" xfId="0" applyFont="true" applyBorder="true" applyAlignment="true" applyProtection="false">
      <alignment horizontal="general" vertical="bottom" textRotation="0" wrapText="true" indent="0" shrinkToFit="false"/>
      <protection locked="true" hidden="false"/>
    </xf>
    <xf numFmtId="164" fontId="14" fillId="9" borderId="38" xfId="0" applyFont="true" applyBorder="true" applyAlignment="true" applyProtection="false">
      <alignment horizontal="general" vertical="bottom" textRotation="0" wrapText="true" indent="0" shrinkToFit="false"/>
      <protection locked="true" hidden="false"/>
    </xf>
    <xf numFmtId="164" fontId="6" fillId="8" borderId="39" xfId="0" applyFont="true" applyBorder="true" applyAlignment="true" applyProtection="false">
      <alignment horizontal="general" vertical="bottom" textRotation="0" wrapText="true" indent="0" shrinkToFit="false"/>
      <protection locked="true" hidden="false"/>
    </xf>
    <xf numFmtId="164" fontId="6" fillId="9" borderId="40" xfId="0" applyFont="true" applyBorder="true" applyAlignment="true" applyProtection="false">
      <alignment horizontal="general" vertical="bottom" textRotation="0" wrapText="true" indent="0" shrinkToFit="false"/>
      <protection locked="true" hidden="false"/>
    </xf>
    <xf numFmtId="164" fontId="6" fillId="9" borderId="4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5" fontId="0" fillId="0" borderId="0" xfId="0" applyFont="false" applyBorder="true" applyAlignment="true" applyProtection="false">
      <alignment horizontal="general" vertical="bottom" textRotation="0" wrapText="true" indent="0" shrinkToFit="false"/>
      <protection locked="true" hidden="false"/>
    </xf>
    <xf numFmtId="164" fontId="14" fillId="8" borderId="37" xfId="0" applyFont="true" applyBorder="true" applyAlignment="true" applyProtection="false">
      <alignment horizontal="general" vertical="bottom" textRotation="0" wrapText="true" indent="0" shrinkToFit="false"/>
      <protection locked="true" hidden="false"/>
    </xf>
    <xf numFmtId="164" fontId="0" fillId="8" borderId="40" xfId="0" applyFont="false" applyBorder="true" applyAlignment="true" applyProtection="false">
      <alignment horizontal="general" vertical="bottom" textRotation="0" wrapText="true" indent="0" shrinkToFit="false"/>
      <protection locked="true" hidden="false"/>
    </xf>
    <xf numFmtId="164" fontId="9" fillId="2" borderId="42" xfId="0" applyFont="true" applyBorder="true" applyAlignment="true" applyProtection="false">
      <alignment horizontal="general" vertical="bottom" textRotation="0" wrapText="true" indent="0" shrinkToFit="false"/>
      <protection locked="true" hidden="false"/>
    </xf>
    <xf numFmtId="164" fontId="9" fillId="2" borderId="43" xfId="0" applyFont="true" applyBorder="true" applyAlignment="true" applyProtection="false">
      <alignment horizontal="general" vertical="bottom" textRotation="0" wrapText="true" indent="0" shrinkToFit="false"/>
      <protection locked="true" hidden="false"/>
    </xf>
    <xf numFmtId="164" fontId="15" fillId="2" borderId="2"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6" fillId="8" borderId="44" xfId="0" applyFont="true" applyBorder="true" applyAlignment="true" applyProtection="false">
      <alignment horizontal="center" vertical="center" textRotation="0" wrapText="false" indent="0" shrinkToFit="false"/>
      <protection locked="true" hidden="false"/>
    </xf>
    <xf numFmtId="164" fontId="6" fillId="9" borderId="45"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6" fillId="8" borderId="46" xfId="0" applyFont="true" applyBorder="true" applyAlignment="true" applyProtection="false">
      <alignment horizontal="center" vertical="center" textRotation="0" wrapText="false" indent="0" shrinkToFit="false"/>
      <protection locked="true" hidden="false"/>
    </xf>
    <xf numFmtId="164" fontId="6" fillId="9" borderId="47" xfId="0" applyFont="true" applyBorder="true" applyAlignment="true" applyProtection="false">
      <alignment horizontal="center" vertical="center" textRotation="0" wrapText="false" indent="0" shrinkToFit="false"/>
      <protection locked="true" hidden="false"/>
    </xf>
    <xf numFmtId="164" fontId="16" fillId="8" borderId="48" xfId="0" applyFont="true" applyBorder="true" applyAlignment="true" applyProtection="false">
      <alignment horizontal="center" vertical="center" textRotation="0" wrapText="false" indent="0" shrinkToFit="false"/>
      <protection locked="true" hidden="false"/>
    </xf>
    <xf numFmtId="164" fontId="6" fillId="9" borderId="49" xfId="0" applyFont="true" applyBorder="true" applyAlignment="true" applyProtection="false">
      <alignment horizontal="center" vertical="center" textRotation="0" wrapText="false" indent="0" shrinkToFit="false"/>
      <protection locked="true" hidden="false"/>
    </xf>
    <xf numFmtId="164" fontId="9" fillId="3" borderId="50" xfId="0" applyFont="true" applyBorder="true" applyAlignment="true" applyProtection="false">
      <alignment horizontal="center" vertical="bottom" textRotation="0" wrapText="false" indent="0" shrinkToFit="false"/>
      <protection locked="true" hidden="false"/>
    </xf>
    <xf numFmtId="164" fontId="6" fillId="3" borderId="2" xfId="0" applyFont="true" applyBorder="true" applyAlignment="true" applyProtection="false">
      <alignment horizontal="center" vertical="bottom" textRotation="0" wrapText="true" indent="0" shrinkToFit="false"/>
      <protection locked="true" hidden="false"/>
    </xf>
    <xf numFmtId="164" fontId="9" fillId="2" borderId="51" xfId="0" applyFont="true" applyBorder="true" applyAlignment="true" applyProtection="false">
      <alignment horizontal="general" vertical="bottom" textRotation="0" wrapText="true" indent="0" shrinkToFit="false"/>
      <protection locked="true" hidden="false"/>
    </xf>
    <xf numFmtId="164" fontId="9" fillId="2" borderId="52" xfId="0" applyFont="true" applyBorder="true" applyAlignment="true" applyProtection="false">
      <alignment horizontal="general" vertical="bottom" textRotation="0" wrapText="true" indent="0" shrinkToFit="false"/>
      <protection locked="true" hidden="false"/>
    </xf>
    <xf numFmtId="164" fontId="14" fillId="8" borderId="36" xfId="0" applyFont="true" applyBorder="true" applyAlignment="true" applyProtection="false">
      <alignment horizontal="center" vertical="bottom" textRotation="0" wrapText="true" indent="0" shrinkToFit="false"/>
      <protection locked="true" hidden="false"/>
    </xf>
    <xf numFmtId="164" fontId="14" fillId="9" borderId="38" xfId="0" applyFont="true" applyBorder="true" applyAlignment="true" applyProtection="false">
      <alignment horizontal="center" vertical="bottom" textRotation="0" wrapText="true" indent="0" shrinkToFit="false"/>
      <protection locked="true" hidden="false"/>
    </xf>
    <xf numFmtId="164" fontId="6" fillId="8" borderId="53" xfId="0" applyFont="true" applyBorder="true" applyAlignment="true" applyProtection="false">
      <alignment horizontal="right" vertical="bottom" textRotation="0" wrapText="true" indent="0" shrinkToFit="false"/>
      <protection locked="true" hidden="false"/>
    </xf>
    <xf numFmtId="164" fontId="6" fillId="9" borderId="54" xfId="0" applyFont="true" applyBorder="true" applyAlignment="true" applyProtection="false">
      <alignment horizontal="general" vertical="bottom" textRotation="0" wrapText="true" indent="0" shrinkToFit="false"/>
      <protection locked="true" hidden="false"/>
    </xf>
    <xf numFmtId="164" fontId="6" fillId="9" borderId="55" xfId="0" applyFont="true" applyBorder="true" applyAlignment="true" applyProtection="false">
      <alignment horizontal="right" vertical="bottom" textRotation="0" wrapText="true" indent="0" shrinkToFit="false"/>
      <protection locked="true" hidden="false"/>
    </xf>
    <xf numFmtId="164" fontId="6" fillId="8" borderId="39" xfId="0" applyFont="true" applyBorder="true" applyAlignment="true" applyProtection="false">
      <alignment horizontal="right" vertical="bottom" textRotation="0" wrapText="true" indent="0" shrinkToFit="false"/>
      <protection locked="true" hidden="false"/>
    </xf>
    <xf numFmtId="164" fontId="0" fillId="9" borderId="41"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3" borderId="50" xfId="0" applyFont="true" applyBorder="true" applyAlignment="true" applyProtection="false">
      <alignment horizontal="center" vertical="bottom" textRotation="0" wrapText="false" indent="0" shrinkToFit="false"/>
      <protection locked="true" hidden="false"/>
    </xf>
    <xf numFmtId="164" fontId="6" fillId="9" borderId="28" xfId="0" applyFont="true" applyBorder="true" applyAlignment="true" applyProtection="false">
      <alignment horizontal="center" vertical="center" textRotation="0" wrapText="false" indent="0" shrinkToFit="false"/>
      <protection locked="true" hidden="false"/>
    </xf>
    <xf numFmtId="164" fontId="18" fillId="4" borderId="7" xfId="0" applyFont="true" applyBorder="true" applyAlignment="true" applyProtection="false">
      <alignment horizontal="center" vertical="center" textRotation="0" wrapText="false" indent="0" shrinkToFit="false"/>
      <protection locked="true" hidden="false"/>
    </xf>
    <xf numFmtId="164" fontId="18" fillId="4" borderId="56" xfId="0" applyFont="true" applyBorder="true" applyAlignment="true" applyProtection="false">
      <alignment horizontal="center" vertical="center" textRotation="0" wrapText="false" indent="0" shrinkToFit="false"/>
      <protection locked="true" hidden="false"/>
    </xf>
    <xf numFmtId="164" fontId="18" fillId="5" borderId="9" xfId="0" applyFont="true" applyBorder="true" applyAlignment="true" applyProtection="false">
      <alignment horizontal="center" vertical="center" textRotation="0" wrapText="false" indent="0" shrinkToFit="false"/>
      <protection locked="true" hidden="false"/>
    </xf>
    <xf numFmtId="164" fontId="6" fillId="8" borderId="57" xfId="0" applyFont="true" applyBorder="true" applyAlignment="true" applyProtection="false">
      <alignment horizontal="center" vertical="center" textRotation="0" wrapText="false" indent="0" shrinkToFit="false"/>
      <protection locked="true" hidden="false"/>
    </xf>
    <xf numFmtId="164" fontId="16" fillId="8" borderId="58" xfId="0" applyFont="true" applyBorder="true" applyAlignment="true" applyProtection="false">
      <alignment horizontal="center" vertical="center" textRotation="0" wrapText="false" indent="0" shrinkToFit="false"/>
      <protection locked="true" hidden="false"/>
    </xf>
    <xf numFmtId="164" fontId="6" fillId="3" borderId="3" xfId="0" applyFont="true" applyBorder="true" applyAlignment="true" applyProtection="false">
      <alignment horizontal="center" vertical="bottom" textRotation="0" wrapText="false" indent="0" shrinkToFit="false"/>
      <protection locked="true" hidden="false"/>
    </xf>
    <xf numFmtId="164" fontId="6" fillId="8" borderId="53" xfId="0" applyFont="true" applyBorder="true" applyAlignment="true" applyProtection="false">
      <alignment horizontal="general" vertical="bottom" textRotation="0" wrapText="true" indent="0" shrinkToFit="false"/>
      <protection locked="true" hidden="false"/>
    </xf>
    <xf numFmtId="164" fontId="6" fillId="8" borderId="29" xfId="0" applyFont="true" applyBorder="true" applyAlignment="true" applyProtection="false">
      <alignment horizontal="general" vertical="bottom" textRotation="0" wrapText="true" indent="0" shrinkToFit="false"/>
      <protection locked="true" hidden="false"/>
    </xf>
    <xf numFmtId="164" fontId="6" fillId="9" borderId="41" xfId="0" applyFont="true" applyBorder="true" applyAlignment="true" applyProtection="false">
      <alignment horizontal="right" vertical="bottom" textRotation="0" wrapText="true" indent="0" shrinkToFit="false"/>
      <protection locked="true" hidden="false"/>
    </xf>
    <xf numFmtId="164" fontId="0" fillId="0" borderId="59"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29" xfId="0" applyFont="true" applyBorder="true" applyAlignment="true" applyProtection="false">
      <alignment horizontal="center" vertical="bottom" textRotation="0" wrapText="false" indent="0" shrinkToFit="false"/>
      <protection locked="true" hidden="false"/>
    </xf>
    <xf numFmtId="164" fontId="11" fillId="4" borderId="56" xfId="0" applyFont="true" applyBorder="true" applyAlignment="true" applyProtection="false">
      <alignment horizontal="center" vertical="center" textRotation="0" wrapText="false" indent="0" shrinkToFit="false"/>
      <protection locked="true" hidden="false"/>
    </xf>
    <xf numFmtId="164" fontId="6" fillId="8" borderId="57" xfId="0" applyFont="true" applyBorder="true" applyAlignment="true" applyProtection="false">
      <alignment horizontal="center" vertical="center" textRotation="0" wrapText="true" indent="0" shrinkToFit="false"/>
      <protection locked="true" hidden="false"/>
    </xf>
    <xf numFmtId="164" fontId="6" fillId="8" borderId="6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9" borderId="54" xfId="0" applyFont="true" applyBorder="true" applyAlignment="true" applyProtection="false">
      <alignment horizontal="right" vertical="bottom" textRotation="0" wrapText="true" indent="0" shrinkToFit="false"/>
      <protection locked="true" hidden="false"/>
    </xf>
    <xf numFmtId="166" fontId="6" fillId="8" borderId="29" xfId="0" applyFont="true" applyBorder="true" applyAlignment="true" applyProtection="false">
      <alignment horizontal="general" vertical="bottom" textRotation="0" wrapText="true" indent="0" shrinkToFit="false"/>
      <protection locked="true" hidden="false"/>
    </xf>
    <xf numFmtId="164" fontId="6" fillId="8" borderId="61" xfId="0" applyFont="true" applyBorder="true" applyAlignment="true" applyProtection="false">
      <alignment horizontal="center" vertical="center" textRotation="0" wrapText="false" indent="0" shrinkToFit="false"/>
      <protection locked="true" hidden="false"/>
    </xf>
    <xf numFmtId="164" fontId="6" fillId="8" borderId="62" xfId="0" applyFont="true" applyBorder="true" applyAlignment="true" applyProtection="false">
      <alignment horizontal="center" vertical="center" textRotation="0" wrapText="false" indent="0" shrinkToFit="false"/>
      <protection locked="true" hidden="false"/>
    </xf>
    <xf numFmtId="164" fontId="6" fillId="9" borderId="63" xfId="0" applyFont="true" applyBorder="true" applyAlignment="true" applyProtection="false">
      <alignment horizontal="center" vertical="center" textRotation="0" wrapText="false" indent="0" shrinkToFit="false"/>
      <protection locked="true" hidden="false"/>
    </xf>
    <xf numFmtId="164" fontId="6" fillId="8" borderId="64" xfId="0" applyFont="true" applyBorder="true" applyAlignment="true" applyProtection="false">
      <alignment horizontal="center" vertical="center" textRotation="0" wrapText="false" indent="0" shrinkToFit="false"/>
      <protection locked="true" hidden="false"/>
    </xf>
    <xf numFmtId="164" fontId="6" fillId="9" borderId="60" xfId="0" applyFont="true" applyBorder="true" applyAlignment="true" applyProtection="false">
      <alignment horizontal="center" vertical="center" textRotation="0" wrapText="false" indent="0" shrinkToFit="false"/>
      <protection locked="true" hidden="false"/>
    </xf>
    <xf numFmtId="164" fontId="6" fillId="9" borderId="65"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8" borderId="66" xfId="0" applyFont="true" applyBorder="true" applyAlignment="true" applyProtection="false">
      <alignment horizontal="general" vertical="bottom" textRotation="0" wrapText="true" indent="0" shrinkToFit="false"/>
      <protection locked="true" hidden="false"/>
    </xf>
    <xf numFmtId="167" fontId="6" fillId="8" borderId="67" xfId="0" applyFont="true" applyBorder="true" applyAlignment="true" applyProtection="false">
      <alignment horizontal="left" vertical="bottom" textRotation="0" wrapText="true" indent="0" shrinkToFit="false"/>
      <protection locked="true" hidden="false"/>
    </xf>
    <xf numFmtId="164" fontId="6" fillId="9" borderId="68" xfId="0" applyFont="true" applyBorder="true" applyAlignment="true" applyProtection="false">
      <alignment horizontal="general" vertical="bottom" textRotation="0" wrapText="true" indent="0" shrinkToFit="false"/>
      <protection locked="true" hidden="false"/>
    </xf>
    <xf numFmtId="164" fontId="6" fillId="8" borderId="53" xfId="0" applyFont="true" applyBorder="true" applyAlignment="false" applyProtection="false">
      <alignment horizontal="general" vertical="bottom" textRotation="0" wrapText="false" indent="0" shrinkToFit="false"/>
      <protection locked="true" hidden="false"/>
    </xf>
    <xf numFmtId="167" fontId="0" fillId="8" borderId="29" xfId="0" applyFont="false" applyBorder="true" applyAlignment="true" applyProtection="false">
      <alignment horizontal="left" vertical="bottom" textRotation="0" wrapText="false" indent="0" shrinkToFit="false"/>
      <protection locked="true" hidden="false"/>
    </xf>
    <xf numFmtId="164" fontId="6" fillId="9" borderId="55" xfId="0" applyFont="true" applyBorder="true" applyAlignment="false" applyProtection="false">
      <alignment horizontal="general" vertical="bottom" textRotation="0" wrapText="false" indent="0" shrinkToFit="false"/>
      <protection locked="true" hidden="false"/>
    </xf>
    <xf numFmtId="164" fontId="0" fillId="8" borderId="29" xfId="0" applyFont="false" applyBorder="true" applyAlignment="true" applyProtection="false">
      <alignment horizontal="left" vertical="bottom" textRotation="0" wrapText="false" indent="0" shrinkToFit="false"/>
      <protection locked="true" hidden="false"/>
    </xf>
    <xf numFmtId="164" fontId="6" fillId="8" borderId="39" xfId="0" applyFont="true" applyBorder="true" applyAlignment="false" applyProtection="false">
      <alignment horizontal="general" vertical="bottom" textRotation="0" wrapText="false" indent="0" shrinkToFit="false"/>
      <protection locked="true" hidden="false"/>
    </xf>
    <xf numFmtId="164" fontId="0" fillId="8" borderId="40" xfId="0" applyFont="false" applyBorder="true" applyAlignment="true" applyProtection="false">
      <alignment horizontal="left" vertical="bottom" textRotation="0" wrapText="false" indent="0" shrinkToFit="false"/>
      <protection locked="true" hidden="false"/>
    </xf>
    <xf numFmtId="164" fontId="6" fillId="9" borderId="41" xfId="0" applyFont="true" applyBorder="true" applyAlignment="false" applyProtection="false">
      <alignment horizontal="general" vertical="bottom" textRotation="0" wrapText="false" indent="0" shrinkToFit="false"/>
      <protection locked="true" hidden="false"/>
    </xf>
    <xf numFmtId="164" fontId="6" fillId="8" borderId="67" xfId="0" applyFont="true" applyBorder="true" applyAlignment="true" applyProtection="false">
      <alignment horizontal="left" vertical="bottom" textRotation="0" wrapText="true" indent="0" shrinkToFit="false"/>
      <protection locked="true" hidden="false"/>
    </xf>
    <xf numFmtId="166" fontId="6" fillId="8" borderId="67" xfId="0" applyFont="true" applyBorder="true" applyAlignment="true" applyProtection="false">
      <alignment horizontal="left" vertical="bottom" textRotation="0" wrapText="true" indent="0" shrinkToFit="false"/>
      <protection locked="true" hidden="false"/>
    </xf>
    <xf numFmtId="164" fontId="6" fillId="9" borderId="68" xfId="0" applyFont="true" applyBorder="true" applyAlignment="true" applyProtection="false">
      <alignment horizontal="right" vertical="bottom" textRotation="0" wrapText="true" indent="0" shrinkToFit="false"/>
      <protection locked="true" hidden="false"/>
    </xf>
    <xf numFmtId="166" fontId="0" fillId="8" borderId="29" xfId="0" applyFont="fals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8" borderId="66" xfId="0" applyFont="true" applyBorder="true" applyAlignment="true" applyProtection="false">
      <alignment horizontal="right" vertical="bottom" textRotation="0" wrapText="true" indent="0" shrinkToFit="false"/>
      <protection locked="true" hidden="false"/>
    </xf>
    <xf numFmtId="164" fontId="9" fillId="2" borderId="69" xfId="0" applyFont="true" applyBorder="true" applyAlignment="true" applyProtection="false">
      <alignment horizontal="center" vertical="bottom" textRotation="0" wrapText="false" indent="0" shrinkToFit="false"/>
      <protection locked="true" hidden="false"/>
    </xf>
    <xf numFmtId="164" fontId="9" fillId="2" borderId="70" xfId="0" applyFont="true" applyBorder="true" applyAlignment="true" applyProtection="false">
      <alignment horizontal="center" vertical="bottom" textRotation="0" wrapText="false" indent="0" shrinkToFit="false"/>
      <protection locked="true" hidden="false"/>
    </xf>
    <xf numFmtId="164" fontId="9" fillId="2" borderId="71" xfId="0" applyFont="true" applyBorder="true" applyAlignment="true" applyProtection="false">
      <alignment horizontal="center" vertical="bottom" textRotation="0" wrapText="false" indent="0" shrinkToFit="false"/>
      <protection locked="true" hidden="false"/>
    </xf>
    <xf numFmtId="164" fontId="9" fillId="2" borderId="52" xfId="0" applyFont="true" applyBorder="true" applyAlignment="true" applyProtection="false">
      <alignment horizontal="center" vertical="bottom" textRotation="0" wrapText="false" indent="0" shrinkToFit="false"/>
      <protection locked="true" hidden="false"/>
    </xf>
    <xf numFmtId="164" fontId="9" fillId="2" borderId="72" xfId="0" applyFont="true" applyBorder="true" applyAlignment="true" applyProtection="false">
      <alignment horizontal="left" vertical="bottom" textRotation="0" wrapText="false" indent="0" shrinkToFit="false"/>
      <protection locked="true" hidden="false"/>
    </xf>
    <xf numFmtId="164" fontId="9" fillId="2" borderId="73" xfId="0" applyFont="true" applyBorder="true" applyAlignment="true" applyProtection="false">
      <alignment horizontal="center" vertical="bottom" textRotation="0" wrapText="false" indent="0" shrinkToFit="false"/>
      <protection locked="true" hidden="false"/>
    </xf>
    <xf numFmtId="164" fontId="9" fillId="2" borderId="73" xfId="0" applyFont="true" applyBorder="true" applyAlignment="true" applyProtection="false">
      <alignment horizontal="left" vertical="bottom" textRotation="0" wrapText="false" indent="0" shrinkToFit="false"/>
      <protection locked="true" hidden="false"/>
    </xf>
    <xf numFmtId="164" fontId="9" fillId="2" borderId="74" xfId="0" applyFont="true" applyBorder="true" applyAlignment="true" applyProtection="false">
      <alignment horizontal="left" vertical="bottom" textRotation="0" wrapText="false" indent="0" shrinkToFit="false"/>
      <protection locked="true" hidden="false"/>
    </xf>
    <xf numFmtId="164" fontId="9" fillId="2" borderId="75" xfId="0" applyFont="true" applyBorder="true" applyAlignment="true" applyProtection="false">
      <alignment horizontal="left" vertical="bottom" textRotation="0" wrapText="false" indent="0" shrinkToFit="false"/>
      <protection locked="true" hidden="false"/>
    </xf>
    <xf numFmtId="164" fontId="9" fillId="2" borderId="34" xfId="0" applyFont="true" applyBorder="true" applyAlignment="true" applyProtection="false">
      <alignment horizontal="left" vertical="bottom" textRotation="0" wrapText="false" indent="0" shrinkToFit="false"/>
      <protection locked="true" hidden="false"/>
    </xf>
    <xf numFmtId="164" fontId="9" fillId="2" borderId="35" xfId="0" applyFont="true" applyBorder="true" applyAlignment="true" applyProtection="false">
      <alignment horizontal="left" vertical="bottom" textRotation="0" wrapText="false" indent="0" shrinkToFit="false"/>
      <protection locked="true" hidden="false"/>
    </xf>
    <xf numFmtId="164" fontId="11" fillId="4" borderId="56" xfId="0" applyFont="true" applyBorder="true" applyAlignment="true" applyProtection="false">
      <alignment horizontal="center" vertical="center" textRotation="0" wrapText="true" indent="0" shrinkToFit="false"/>
      <protection locked="true" hidden="false"/>
    </xf>
    <xf numFmtId="164" fontId="6" fillId="8" borderId="76" xfId="0" applyFont="true" applyBorder="true" applyAlignment="true" applyProtection="false">
      <alignment horizontal="center" vertical="center" textRotation="0" wrapText="false" indent="0" shrinkToFit="false"/>
      <protection locked="true" hidden="false"/>
    </xf>
    <xf numFmtId="164" fontId="6" fillId="8" borderId="77" xfId="0" applyFont="true" applyBorder="true" applyAlignment="true" applyProtection="false">
      <alignment horizontal="center" vertical="center" textRotation="0" wrapText="false" indent="0" shrinkToFit="false"/>
      <protection locked="true" hidden="false"/>
    </xf>
    <xf numFmtId="164" fontId="6" fillId="8" borderId="78" xfId="0" applyFont="true" applyBorder="true" applyAlignment="true" applyProtection="false">
      <alignment horizontal="center" vertical="center" textRotation="0" wrapText="false" indent="0" shrinkToFit="false"/>
      <protection locked="true" hidden="false"/>
    </xf>
    <xf numFmtId="164" fontId="6" fillId="8" borderId="79" xfId="0" applyFont="true" applyBorder="true" applyAlignment="true" applyProtection="false">
      <alignment horizontal="center" vertical="center" textRotation="0" wrapText="false" indent="0" shrinkToFit="false"/>
      <protection locked="true" hidden="false"/>
    </xf>
    <xf numFmtId="164" fontId="6" fillId="8" borderId="80" xfId="0" applyFont="true" applyBorder="true" applyAlignment="true" applyProtection="false">
      <alignment horizontal="center" vertical="center" textRotation="0" wrapText="false" indent="0" shrinkToFit="false"/>
      <protection locked="true" hidden="false"/>
    </xf>
    <xf numFmtId="164" fontId="6" fillId="9" borderId="47" xfId="0" applyFont="true" applyBorder="true" applyAlignment="true" applyProtection="false">
      <alignment horizontal="center" vertical="center" textRotation="0" wrapText="false" indent="0" shrinkToFit="false"/>
      <protection locked="true" hidden="false"/>
    </xf>
    <xf numFmtId="164" fontId="6" fillId="8" borderId="81" xfId="0" applyFont="true" applyBorder="true" applyAlignment="true" applyProtection="false">
      <alignment horizontal="center" vertical="center" textRotation="0" wrapText="false" indent="0" shrinkToFit="false"/>
      <protection locked="true" hidden="false"/>
    </xf>
    <xf numFmtId="164" fontId="6" fillId="8" borderId="58" xfId="0" applyFont="true" applyBorder="true" applyAlignment="true" applyProtection="false">
      <alignment horizontal="center" vertical="center" textRotation="0" wrapText="false" indent="0" shrinkToFit="false"/>
      <protection locked="true" hidden="false"/>
    </xf>
    <xf numFmtId="164" fontId="16" fillId="8" borderId="82" xfId="0" applyFont="true" applyBorder="true" applyAlignment="true" applyProtection="false">
      <alignment horizontal="center" vertical="center" textRotation="0" wrapText="false" indent="0" shrinkToFit="false"/>
      <protection locked="true" hidden="false"/>
    </xf>
    <xf numFmtId="164" fontId="6" fillId="9" borderId="49" xfId="0" applyFont="true" applyBorder="true" applyAlignment="true" applyProtection="false">
      <alignment horizontal="center" vertical="center" textRotation="0" wrapText="false" indent="0" shrinkToFit="false"/>
      <protection locked="true" hidden="false"/>
    </xf>
    <xf numFmtId="164" fontId="6" fillId="8" borderId="40" xfId="0" applyFont="true" applyBorder="true" applyAlignment="true" applyProtection="false">
      <alignment horizontal="general" vertical="bottom" textRotation="0" wrapText="true" indent="0" shrinkToFit="false"/>
      <protection locked="true" hidden="false"/>
    </xf>
    <xf numFmtId="164" fontId="20" fillId="6" borderId="50" xfId="0" applyFont="true" applyBorder="true" applyAlignment="true" applyProtection="false">
      <alignment horizontal="left" vertical="bottom" textRotation="0" wrapText="false" indent="0" shrinkToFit="false"/>
      <protection locked="true" hidden="false"/>
    </xf>
    <xf numFmtId="164" fontId="9" fillId="2" borderId="83" xfId="0" applyFont="true" applyBorder="true" applyAlignment="true" applyProtection="false">
      <alignment horizontal="left" vertical="bottom" textRotation="0" wrapText="false" indent="0" shrinkToFit="false"/>
      <protection locked="true" hidden="false"/>
    </xf>
    <xf numFmtId="164" fontId="6" fillId="8" borderId="84" xfId="0" applyFont="true" applyBorder="true" applyAlignment="true" applyProtection="false">
      <alignment horizontal="center" vertical="center" textRotation="0" wrapText="false" indent="0" shrinkToFit="false"/>
      <protection locked="true" hidden="false"/>
    </xf>
    <xf numFmtId="168" fontId="6" fillId="9" borderId="85" xfId="0" applyFont="true" applyBorder="true" applyAlignment="true" applyProtection="false">
      <alignment horizontal="center" vertical="center" textRotation="0" wrapText="false" indent="0" shrinkToFit="false"/>
      <protection locked="true" hidden="false"/>
    </xf>
    <xf numFmtId="164" fontId="11" fillId="5" borderId="56" xfId="0" applyFont="true" applyBorder="true" applyAlignment="true" applyProtection="false">
      <alignment horizontal="center" vertical="center" textRotation="0" wrapText="false" indent="0" shrinkToFit="false"/>
      <protection locked="true" hidden="false"/>
    </xf>
    <xf numFmtId="164" fontId="22" fillId="6" borderId="86" xfId="0" applyFont="true" applyBorder="true" applyAlignment="false" applyProtection="false">
      <alignment horizontal="general" vertical="bottom" textRotation="0" wrapText="false" indent="0" shrinkToFit="false"/>
      <protection locked="true" hidden="false"/>
    </xf>
    <xf numFmtId="164" fontId="22" fillId="6" borderId="87" xfId="0" applyFont="true" applyBorder="true" applyAlignment="false" applyProtection="false">
      <alignment horizontal="general" vertical="bottom" textRotation="0" wrapText="false" indent="0" shrinkToFit="false"/>
      <protection locked="true" hidden="false"/>
    </xf>
    <xf numFmtId="164" fontId="22" fillId="6" borderId="88" xfId="0" applyFont="true" applyBorder="true" applyAlignment="false" applyProtection="false">
      <alignment horizontal="general" vertical="bottom" textRotation="0" wrapText="false" indent="0" shrinkToFit="false"/>
      <protection locked="true" hidden="false"/>
    </xf>
    <xf numFmtId="164" fontId="22" fillId="6" borderId="89" xfId="0" applyFont="true" applyBorder="true" applyAlignment="false" applyProtection="false">
      <alignment horizontal="general" vertical="bottom" textRotation="0" wrapText="false" indent="0" shrinkToFit="false"/>
      <protection locked="true" hidden="false"/>
    </xf>
    <xf numFmtId="164" fontId="22" fillId="6" borderId="90" xfId="0" applyFont="true" applyBorder="true" applyAlignment="false" applyProtection="false">
      <alignment horizontal="general" vertical="bottom" textRotation="0" wrapText="false" indent="0" shrinkToFit="false"/>
      <protection locked="true" hidden="false"/>
    </xf>
    <xf numFmtId="164" fontId="22" fillId="6" borderId="91" xfId="0" applyFont="true" applyBorder="true" applyAlignment="false" applyProtection="false">
      <alignment horizontal="general" vertical="bottom" textRotation="0" wrapText="false" indent="0" shrinkToFit="false"/>
      <protection locked="true" hidden="false"/>
    </xf>
    <xf numFmtId="164" fontId="22" fillId="6" borderId="92" xfId="0" applyFont="true" applyBorder="true" applyAlignment="true" applyProtection="false">
      <alignment horizontal="general" vertical="top" textRotation="0" wrapText="false" indent="0" shrinkToFit="false"/>
      <protection locked="true" hidden="false"/>
    </xf>
    <xf numFmtId="164" fontId="22" fillId="6" borderId="29" xfId="0" applyFont="true" applyBorder="true" applyAlignment="true" applyProtection="false">
      <alignment horizontal="left" vertical="top" textRotation="0" wrapText="true" indent="0" shrinkToFit="false"/>
      <protection locked="true" hidden="false"/>
    </xf>
    <xf numFmtId="164" fontId="23" fillId="3" borderId="29" xfId="0" applyFont="true" applyBorder="true" applyAlignment="true" applyProtection="false">
      <alignment horizontal="center" vertical="bottom" textRotation="0" wrapText="false" indent="0" shrinkToFit="false"/>
      <protection locked="true" hidden="false"/>
    </xf>
    <xf numFmtId="167" fontId="11" fillId="4" borderId="93" xfId="0" applyFont="true" applyBorder="true" applyAlignment="true" applyProtection="false">
      <alignment horizontal="center" vertical="center" textRotation="0" wrapText="false" indent="0" shrinkToFit="false"/>
      <protection locked="true" hidden="false"/>
    </xf>
    <xf numFmtId="164" fontId="22" fillId="6" borderId="94" xfId="0" applyFont="true" applyBorder="true" applyAlignment="false" applyProtection="false">
      <alignment horizontal="general" vertical="bottom" textRotation="0" wrapText="false" indent="0" shrinkToFit="false"/>
      <protection locked="true" hidden="false"/>
    </xf>
    <xf numFmtId="164" fontId="22" fillId="6" borderId="95" xfId="0" applyFont="true" applyBorder="true" applyAlignment="false" applyProtection="false">
      <alignment horizontal="general" vertical="bottom" textRotation="0" wrapText="false" indent="0" shrinkToFit="false"/>
      <protection locked="true" hidden="false"/>
    </xf>
    <xf numFmtId="164" fontId="25" fillId="10" borderId="29" xfId="0" applyFont="true" applyBorder="true" applyAlignment="true" applyProtection="false">
      <alignment horizontal="center" vertical="bottom" textRotation="0" wrapText="false" indent="0" shrinkToFit="false"/>
      <protection locked="true" hidden="false"/>
    </xf>
    <xf numFmtId="164" fontId="6" fillId="11" borderId="86" xfId="0" applyFont="true" applyBorder="true" applyAlignment="false" applyProtection="false">
      <alignment horizontal="general" vertical="bottom" textRotation="0" wrapText="false" indent="0" shrinkToFit="false"/>
      <protection locked="true" hidden="false"/>
    </xf>
    <xf numFmtId="164" fontId="6" fillId="12" borderId="96" xfId="0" applyFont="true" applyBorder="true" applyAlignment="false" applyProtection="false">
      <alignment horizontal="general" vertical="bottom" textRotation="0" wrapText="false" indent="0" shrinkToFit="false"/>
      <protection locked="true" hidden="false"/>
    </xf>
    <xf numFmtId="164" fontId="6" fillId="12" borderId="87" xfId="0" applyFont="true" applyBorder="true" applyAlignment="false" applyProtection="false">
      <alignment horizontal="general" vertical="bottom" textRotation="0" wrapText="false" indent="0" shrinkToFit="false"/>
      <protection locked="true" hidden="false"/>
    </xf>
    <xf numFmtId="164" fontId="6" fillId="11" borderId="88" xfId="0" applyFont="true" applyBorder="true" applyAlignment="false" applyProtection="false">
      <alignment horizontal="general" vertical="bottom" textRotation="0" wrapText="false" indent="0" shrinkToFit="false"/>
      <protection locked="true" hidden="false"/>
    </xf>
    <xf numFmtId="164" fontId="6" fillId="12" borderId="97" xfId="0" applyFont="true" applyBorder="true" applyAlignment="false" applyProtection="false">
      <alignment horizontal="general" vertical="bottom" textRotation="0" wrapText="false" indent="0" shrinkToFit="false"/>
      <protection locked="true" hidden="false"/>
    </xf>
    <xf numFmtId="164" fontId="6" fillId="12" borderId="89" xfId="0" applyFont="true" applyBorder="true" applyAlignment="false" applyProtection="false">
      <alignment horizontal="general" vertical="bottom" textRotation="0" wrapText="false" indent="0" shrinkToFit="false"/>
      <protection locked="true" hidden="false"/>
    </xf>
    <xf numFmtId="164" fontId="6" fillId="11" borderId="77" xfId="0" applyFont="true" applyBorder="true" applyAlignment="false" applyProtection="false">
      <alignment horizontal="general" vertical="bottom" textRotation="0" wrapText="false" indent="0" shrinkToFit="false"/>
      <protection locked="true" hidden="false"/>
    </xf>
    <xf numFmtId="164" fontId="6" fillId="12" borderId="98" xfId="0" applyFont="true" applyBorder="true" applyAlignment="false" applyProtection="false">
      <alignment horizontal="general" vertical="bottom" textRotation="0" wrapText="false" indent="0" shrinkToFit="false"/>
      <protection locked="true" hidden="false"/>
    </xf>
    <xf numFmtId="164" fontId="6" fillId="11" borderId="90" xfId="0" applyFont="true" applyBorder="true" applyAlignment="false" applyProtection="false">
      <alignment horizontal="general" vertical="bottom" textRotation="0" wrapText="false" indent="0" shrinkToFit="false"/>
      <protection locked="true" hidden="false"/>
    </xf>
    <xf numFmtId="164" fontId="6" fillId="12" borderId="99" xfId="0" applyFont="true" applyBorder="true" applyAlignment="false" applyProtection="false">
      <alignment horizontal="general" vertical="bottom" textRotation="0" wrapText="false" indent="0" shrinkToFit="false"/>
      <protection locked="true" hidden="false"/>
    </xf>
    <xf numFmtId="164" fontId="6" fillId="12" borderId="91" xfId="0" applyFont="true" applyBorder="true" applyAlignment="false" applyProtection="false">
      <alignment horizontal="general" vertical="bottom" textRotation="0" wrapText="false" indent="0" shrinkToFit="false"/>
      <protection locked="true" hidden="false"/>
    </xf>
    <xf numFmtId="164" fontId="6" fillId="11" borderId="100" xfId="0" applyFont="true" applyBorder="true" applyAlignment="false" applyProtection="false">
      <alignment horizontal="general" vertical="bottom" textRotation="0" wrapText="false" indent="0" shrinkToFit="false"/>
      <protection locked="true" hidden="false"/>
    </xf>
    <xf numFmtId="164" fontId="6" fillId="12" borderId="94" xfId="0" applyFont="true" applyBorder="true" applyAlignment="false" applyProtection="false">
      <alignment horizontal="general" vertical="bottom" textRotation="0" wrapText="false" indent="0" shrinkToFit="false"/>
      <protection locked="true" hidden="false"/>
    </xf>
    <xf numFmtId="164" fontId="6" fillId="12" borderId="95" xfId="0" applyFont="true" applyBorder="true" applyAlignment="false" applyProtection="false">
      <alignment horizontal="general" vertical="bottom" textRotation="0" wrapText="false" indent="0" shrinkToFit="false"/>
      <protection locked="true" hidden="false"/>
    </xf>
    <xf numFmtId="164" fontId="6" fillId="2" borderId="101" xfId="0" applyFont="true" applyBorder="true" applyAlignment="true" applyProtection="false">
      <alignment horizontal="right" vertical="bottom" textRotation="0" wrapText="false" indent="0" shrinkToFit="false"/>
      <protection locked="true" hidden="false"/>
    </xf>
    <xf numFmtId="164" fontId="12" fillId="2" borderId="102" xfId="1" applyFont="true" applyBorder="true" applyAlignment="false" applyProtection="false">
      <alignment horizontal="general" vertical="bottom" textRotation="0" wrapText="false" indent="0" shrinkToFit="false"/>
      <protection locked="true" hidden="false"/>
    </xf>
    <xf numFmtId="164" fontId="6" fillId="2" borderId="103" xfId="0" applyFont="true" applyBorder="true" applyAlignment="false" applyProtection="false">
      <alignment horizontal="general" vertical="bottom" textRotation="0" wrapText="false" indent="0" shrinkToFit="false"/>
      <protection locked="true" hidden="false"/>
    </xf>
    <xf numFmtId="164" fontId="6" fillId="2" borderId="104" xfId="0" applyFont="true" applyBorder="true" applyAlignment="true" applyProtection="false">
      <alignment horizontal="general" vertical="bottom" textRotation="0" wrapText="false" indent="0" shrinkToFit="false"/>
      <protection locked="true" hidden="false"/>
    </xf>
    <xf numFmtId="164" fontId="9" fillId="6" borderId="3" xfId="0" applyFont="true" applyBorder="true" applyAlignment="true" applyProtection="false">
      <alignment horizontal="left" vertical="bottom" textRotation="0" wrapText="false" indent="0" shrinkToFit="false"/>
      <protection locked="true" hidden="false"/>
    </xf>
    <xf numFmtId="164" fontId="9" fillId="11" borderId="51" xfId="0" applyFont="true" applyBorder="true" applyAlignment="true" applyProtection="false">
      <alignment horizontal="center" vertical="bottom" textRotation="0" wrapText="false" indent="0" shrinkToFit="false"/>
      <protection locked="true" hidden="false"/>
    </xf>
    <xf numFmtId="164" fontId="9" fillId="11" borderId="105" xfId="0" applyFont="true" applyBorder="true" applyAlignment="true" applyProtection="false">
      <alignment horizontal="center" vertical="bottom" textRotation="0" wrapText="false" indent="0" shrinkToFit="false"/>
      <protection locked="true" hidden="false"/>
    </xf>
    <xf numFmtId="164" fontId="9" fillId="11" borderId="106" xfId="0" applyFont="true" applyBorder="true" applyAlignment="true" applyProtection="false">
      <alignment horizontal="center" vertical="bottom" textRotation="0" wrapText="false" indent="0" shrinkToFit="false"/>
      <protection locked="true" hidden="false"/>
    </xf>
    <xf numFmtId="164" fontId="9" fillId="11" borderId="107" xfId="0" applyFont="true" applyBorder="true" applyAlignment="true" applyProtection="false">
      <alignment horizontal="center" vertical="bottom" textRotation="0" wrapText="false" indent="0" shrinkToFit="false"/>
      <protection locked="true" hidden="false"/>
    </xf>
    <xf numFmtId="164" fontId="9" fillId="11" borderId="52" xfId="0" applyFont="true" applyBorder="true" applyAlignment="true" applyProtection="false">
      <alignment horizontal="center" vertical="bottom" textRotation="0" wrapText="false" indent="0" shrinkToFit="false"/>
      <protection locked="true" hidden="false"/>
    </xf>
    <xf numFmtId="164" fontId="9" fillId="11" borderId="108" xfId="0" applyFont="true" applyBorder="true" applyAlignment="true" applyProtection="false">
      <alignment horizontal="center" vertical="bottom" textRotation="0" wrapText="false" indent="0" shrinkToFit="false"/>
      <protection locked="true" hidden="false"/>
    </xf>
    <xf numFmtId="164" fontId="9" fillId="11" borderId="0" xfId="0" applyFont="true" applyBorder="true" applyAlignment="true" applyProtection="false">
      <alignment horizontal="center" vertical="bottom" textRotation="0" wrapText="false" indent="0" shrinkToFit="false"/>
      <protection locked="true" hidden="false"/>
    </xf>
    <xf numFmtId="164" fontId="9" fillId="11" borderId="109" xfId="0" applyFont="true" applyBorder="true" applyAlignment="true" applyProtection="false">
      <alignment horizontal="center" vertical="bottom" textRotation="0" wrapText="false" indent="0" shrinkToFit="false"/>
      <protection locked="true" hidden="false"/>
    </xf>
    <xf numFmtId="164" fontId="9" fillId="11" borderId="110" xfId="0" applyFont="true" applyBorder="true" applyAlignment="true" applyProtection="false">
      <alignment horizontal="center" vertical="bottom" textRotation="0" wrapText="false" indent="0" shrinkToFit="false"/>
      <protection locked="true" hidden="false"/>
    </xf>
    <xf numFmtId="164" fontId="9" fillId="11" borderId="43" xfId="0" applyFont="true" applyBorder="true" applyAlignment="true" applyProtection="false">
      <alignment horizontal="center" vertical="bottom" textRotation="0" wrapText="false" indent="0" shrinkToFit="false"/>
      <protection locked="true" hidden="false"/>
    </xf>
    <xf numFmtId="164" fontId="18" fillId="4" borderId="40" xfId="0" applyFont="true" applyBorder="true" applyAlignment="true" applyProtection="false">
      <alignment horizontal="center" vertical="center" textRotation="0" wrapText="false" indent="0" shrinkToFit="false"/>
      <protection locked="true" hidden="false"/>
    </xf>
    <xf numFmtId="164" fontId="6" fillId="13" borderId="29" xfId="2" applyFont="true" applyBorder="true" applyAlignment="false" applyProtection="false">
      <alignment horizontal="general" vertical="bottom" textRotation="0" wrapText="false" indent="0" shrinkToFit="false"/>
      <protection locked="true" hidden="false"/>
    </xf>
    <xf numFmtId="164" fontId="9" fillId="11" borderId="111" xfId="0" applyFont="true" applyBorder="true" applyAlignment="true" applyProtection="false">
      <alignment horizontal="center" vertical="bottom" textRotation="0" wrapText="false" indent="0" shrinkToFit="false"/>
      <protection locked="true" hidden="false"/>
    </xf>
    <xf numFmtId="164" fontId="9" fillId="11" borderId="112" xfId="0" applyFont="true" applyBorder="true" applyAlignment="true" applyProtection="false">
      <alignment horizontal="center" vertical="bottom" textRotation="0" wrapText="false" indent="0" shrinkToFit="false"/>
      <protection locked="true" hidden="false"/>
    </xf>
    <xf numFmtId="164" fontId="9" fillId="11" borderId="113" xfId="0" applyFont="true" applyBorder="true" applyAlignment="true" applyProtection="false">
      <alignment horizontal="center" vertical="bottom" textRotation="0" wrapText="false" indent="0" shrinkToFit="false"/>
      <protection locked="true" hidden="false"/>
    </xf>
    <xf numFmtId="164" fontId="9" fillId="11" borderId="114" xfId="0" applyFont="true" applyBorder="true" applyAlignment="true" applyProtection="false">
      <alignment horizontal="center" vertical="bottom" textRotation="0" wrapText="false" indent="0" shrinkToFit="false"/>
      <protection locked="true" hidden="false"/>
    </xf>
    <xf numFmtId="164" fontId="9" fillId="11" borderId="115" xfId="0" applyFont="true" applyBorder="true" applyAlignment="true" applyProtection="false">
      <alignment horizontal="center" vertical="bottom" textRotation="0" wrapText="false" indent="0" shrinkToFit="false"/>
      <protection locked="true" hidden="false"/>
    </xf>
    <xf numFmtId="164" fontId="9" fillId="11" borderId="116" xfId="0" applyFont="true" applyBorder="true" applyAlignment="true" applyProtection="false">
      <alignment horizontal="center" vertical="bottom" textRotation="0" wrapText="false" indent="0" shrinkToFit="false"/>
      <protection locked="true" hidden="false"/>
    </xf>
    <xf numFmtId="164" fontId="9" fillId="11" borderId="84" xfId="0" applyFont="true" applyBorder="true" applyAlignment="true" applyProtection="false">
      <alignment horizontal="center" vertical="bottom" textRotation="0" wrapText="false" indent="0" shrinkToFit="false"/>
      <protection locked="true" hidden="false"/>
    </xf>
    <xf numFmtId="164" fontId="6" fillId="13" borderId="67" xfId="2" applyFont="true" applyBorder="true" applyAlignment="false" applyProtection="false">
      <alignment horizontal="general" vertical="bottom" textRotation="0" wrapText="false" indent="0" shrinkToFit="false"/>
      <protection locked="true" hidden="false"/>
    </xf>
  </cellXfs>
  <cellStyles count="4">
    <cellStyle name="Normal" xfId="0" builtinId="0"/>
    <cellStyle name="Normal_EPLI rater" xfId="2"/>
    <cellStyle name="*unknown*" xfId="1" builtinId="8"/>
    <cellStyle name="Excel Built-in Heading 1" xfId="3"/>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808080"/>
      <rgbColor rgb="FF8EB4E3"/>
      <rgbColor rgb="FF993366"/>
      <rgbColor rgb="FFEBF1DE"/>
      <rgbColor rgb="FFDCE6F2"/>
      <rgbColor rgb="FF660066"/>
      <rgbColor rgb="FF948A54"/>
      <rgbColor rgb="FF376092"/>
      <rgbColor rgb="FFC6D9F1"/>
      <rgbColor rgb="FF000080"/>
      <rgbColor rgb="FFFF00FF"/>
      <rgbColor rgb="FFFFFF00"/>
      <rgbColor rgb="FF00FFFF"/>
      <rgbColor rgb="FF800080"/>
      <rgbColor rgb="FF800000"/>
      <rgbColor rgb="FF008080"/>
      <rgbColor rgb="FF0000FF"/>
      <rgbColor rgb="FF00CCFF"/>
      <rgbColor rgb="FFF2F2F2"/>
      <rgbColor rgb="FFD7E4BD"/>
      <rgbColor rgb="FFEEECE1"/>
      <rgbColor rgb="FFB9CDE5"/>
      <rgbColor rgb="FFFF99CC"/>
      <rgbColor rgb="FFC4BD97"/>
      <rgbColor rgb="FFDDD9C3"/>
      <rgbColor rgb="FF4F81BD"/>
      <rgbColor rgb="FF33CCCC"/>
      <rgbColor rgb="FFC3D69B"/>
      <rgbColor rgb="FFFFCC00"/>
      <rgbColor rgb="FFFF9900"/>
      <rgbColor rgb="FFFF6600"/>
      <rgbColor rgb="FF7F7F7F"/>
      <rgbColor rgb="FFA6A6A6"/>
      <rgbColor rgb="FF003366"/>
      <rgbColor rgb="FF558ED5"/>
      <rgbColor rgb="FF003300"/>
      <rgbColor rgb="FF4A452A"/>
      <rgbColor rgb="FF993300"/>
      <rgbColor rgb="FF993366"/>
      <rgbColor rgb="FF1F497D"/>
      <rgbColor rgb="FF262626"/>
    </indexedColors>
  </colors>
</styleSheet>
</file>

<file path=xl/_rels/workbook.xml.rels><?xml version="1.0" encoding="UTF-8" standalone="yes"?><Relationships xmlns="http://schemas.openxmlformats.org/package/2006/relationships"><Relationship Id="rId1" Target="styles.xml" Type="http://schemas.openxmlformats.org/officeDocument/2006/relationships/styles"/><Relationship Id="rId10" Target="worksheets/sheet9.xml" Type="http://schemas.openxmlformats.org/officeDocument/2006/relationships/worksheet"/><Relationship Id="rId11" Target="worksheets/sheet10.xml" Type="http://schemas.openxmlformats.org/officeDocument/2006/relationships/worksheet"/><Relationship Id="rId12" Target="worksheets/sheet11.xml" Type="http://schemas.openxmlformats.org/officeDocument/2006/relationships/worksheet"/><Relationship Id="rId13" Target="worksheets/sheet12.xml" Type="http://schemas.openxmlformats.org/officeDocument/2006/relationships/worksheet"/><Relationship Id="rId14" Target="worksheets/sheet13.xml" Type="http://schemas.openxmlformats.org/officeDocument/2006/relationships/worksheet"/><Relationship Id="rId15" Target="worksheets/sheet14.xml" Type="http://schemas.openxmlformats.org/officeDocument/2006/relationships/worksheet"/><Relationship Id="rId16" Target="worksheets/sheet15.xml" Type="http://schemas.openxmlformats.org/officeDocument/2006/relationships/worksheet"/><Relationship Id="rId17" Target="worksheets/sheet16.xml" Type="http://schemas.openxmlformats.org/officeDocument/2006/relationships/worksheet"/><Relationship Id="rId18" Target="worksheets/sheet17.xml" Type="http://schemas.openxmlformats.org/officeDocument/2006/relationships/worksheet"/><Relationship Id="rId19" Target="worksheets/sheet18.xml" Type="http://schemas.openxmlformats.org/officeDocument/2006/relationships/worksheet"/><Relationship Id="rId2" Target="worksheets/sheet1.xml" Type="http://schemas.openxmlformats.org/officeDocument/2006/relationships/worksheet"/><Relationship Id="rId20" Target="worksheets/sheet19.xml" Type="http://schemas.openxmlformats.org/officeDocument/2006/relationships/worksheet"/><Relationship Id="rId21" Target="worksheets/sheet20.xml" Type="http://schemas.openxmlformats.org/officeDocument/2006/relationships/worksheet"/><Relationship Id="rId22" Target="sharedStrings.xml" Type="http://schemas.openxmlformats.org/officeDocument/2006/relationships/sharedStrings"/><Relationship Id="rId3" Target="worksheets/sheet2.xml" Type="http://schemas.openxmlformats.org/officeDocument/2006/relationships/worksheet"/><Relationship Id="rId4" Target="worksheets/sheet3.xml" Type="http://schemas.openxmlformats.org/officeDocument/2006/relationships/worksheet"/><Relationship Id="rId5" Target="worksheets/sheet4.xml" Type="http://schemas.openxmlformats.org/officeDocument/2006/relationships/worksheet"/><Relationship Id="rId6" Target="worksheets/sheet5.xml" Type="http://schemas.openxmlformats.org/officeDocument/2006/relationships/worksheet"/><Relationship Id="rId7" Target="worksheets/sheet6.xml" Type="http://schemas.openxmlformats.org/officeDocument/2006/relationships/worksheet"/><Relationship Id="rId8" Target="worksheets/sheet7.xml" Type="http://schemas.openxmlformats.org/officeDocument/2006/relationships/worksheet"/><Relationship Id="rId9" Target="worksheets/sheet8.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4381560</xdr:colOff>
      <xdr:row>0</xdr:row>
      <xdr:rowOff>47520</xdr:rowOff>
    </xdr:from>
    <xdr:to>
      <xdr:col>7</xdr:col>
      <xdr:colOff>303840</xdr:colOff>
      <xdr:row>2</xdr:row>
      <xdr:rowOff>86760</xdr:rowOff>
    </xdr:to>
    <xdr:sp>
      <xdr:nvSpPr>
        <xdr:cNvPr id="0" name="Picture 1"/>
        <xdr:cNvSpPr/>
      </xdr:nvSpPr>
      <xdr:spPr>
        <a:xfrm>
          <a:off x="11435760" y="47520"/>
          <a:ext cx="780120" cy="420120"/>
        </a:xfrm>
        <a:prstGeom prst="roundRect">
          <a:avLst>
            <a:gd name="adj" fmla="val 16667"/>
          </a:avLst>
        </a:prstGeom>
        <a:blipFill rotWithShape="0">
          <a:blip r:embed="rId1"/>
          <a:srcRect/>
          <a:stretch/>
        </a:blipFill>
        <a:ln w="0">
          <a:noFill/>
        </a:ln>
        <a:effectLst>
          <a:outerShdw algn="tl" blurRad="50760" dir="2700000" dist="37674" rotWithShape="0">
            <a:srgbClr val="000000">
              <a:alpha val="40000"/>
            </a:srgbClr>
          </a:outerShdw>
        </a:effectLst>
        <a:scene3d>
          <a:camera prst="orthographicFront"/>
          <a:lightRig dir="t" rig="contrasting">
            <a:rot lat="0" lon="0" rev="4200000"/>
          </a:lightRig>
        </a:scene3d>
        <a:sp3d prstMaterial="plastic">
          <a:bevelT prst="relaxedInset" w="381000" h="114300"/>
          <a:contourClr>
            <a:srgbClr val="969696"/>
          </a:contourClr>
        </a:sp3d>
      </xdr:spPr>
      <xdr:style>
        <a:lnRef idx="0"/>
        <a:fillRef idx="0"/>
        <a:effectRef idx="0"/>
        <a:fontRef idx="minor"/>
      </xdr:style>
    </xdr:sp>
    <xdr:clientData/>
  </xdr:twoCellAnchor>
</xdr:wsDr>
</file>

<file path=xl/worksheets/_rels/sheet1.xml.rels><?xml version="1.0" encoding="UTF-8" standalone="yes"?><Relationships xmlns="http://schemas.openxmlformats.org/package/2006/relationships"><Relationship Id="rId1" Target="http://www.commerzbank.com/" TargetMode="External" Type="http://schemas.openxmlformats.org/officeDocument/2006/relationships/hyperlink"/><Relationship Id="rId2" Target="../drawings/drawing1.xml" Type="http://schemas.openxmlformats.org/officeDocument/2006/relationships/drawing"/></Relationships>
</file>

<file path=xl/worksheets/_rels/sheet20.xml.rels><?xml version="1.0" encoding="UTF-8" standalone="yes"?><Relationships xmlns="http://schemas.openxmlformats.org/package/2006/relationships"><Relationship Id="rId1" Target="http://www.commerzbank.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558ED5"/>
    <pageSetUpPr fitToPage="false"/>
  </sheetPr>
  <dimension ref="B1:J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1" activeCellId="0" sqref="K21"/>
    </sheetView>
  </sheetViews>
  <sheetFormatPr defaultColWidth="9.09375" defaultRowHeight="15" zeroHeight="false" outlineLevelRow="0" outlineLevelCol="0"/>
  <cols>
    <col min="1" max="2" customWidth="false" hidden="false" style="1" width="9.11" collapsed="false" outlineLevel="0"/>
    <col min="3" max="3" customWidth="true" hidden="false" style="1" width="8.56" collapsed="false" outlineLevel="0"/>
    <col min="4" max="4" customWidth="true" hidden="false" style="1" width="16.56" collapsed="false" outlineLevel="0"/>
    <col min="5" max="5" customWidth="true" hidden="false" style="1" width="25.66" collapsed="false" outlineLevel="0"/>
    <col min="6" max="6" customWidth="true" hidden="false" style="1" width="42.34" collapsed="false" outlineLevel="0"/>
    <col min="7" max="7" customWidth="true" hidden="false" style="1" width="76.67" collapsed="false" outlineLevel="0"/>
    <col min="8" max="9" customWidth="true" hidden="false" style="1" width="5.88" collapsed="false" outlineLevel="0"/>
    <col min="10" max="10" customWidth="true" hidden="false" style="1" width="24.99" collapsed="false" outlineLevel="0"/>
    <col min="11" max="11" customWidth="true" hidden="false" style="1" width="19.11" collapsed="false" outlineLevel="0"/>
    <col min="12" max="1024" customWidth="false" hidden="false" style="1" width="9.11" collapsed="false" outlineLevel="0"/>
  </cols>
  <sheetData>
    <row r="1" customFormat="false" ht="15" hidden="false" customHeight="false" outlineLevel="0" collapsed="false">
      <c r="D1" s="2"/>
      <c r="E1" s="2"/>
      <c r="J1" s="2" t="s">
        <v>0</v>
      </c>
    </row>
    <row r="2" customFormat="false" ht="15" hidden="false" customHeight="false" outlineLevel="0" collapsed="false">
      <c r="H2" s="3"/>
      <c r="I2" s="3"/>
    </row>
    <row r="3" customFormat="false" ht="20.25" hidden="false" customHeight="false" outlineLevel="0" collapsed="false">
      <c r="B3" s="4" t="s">
        <v>1</v>
      </c>
      <c r="C3" s="4"/>
      <c r="D3" s="4"/>
      <c r="E3" s="4"/>
    </row>
    <row r="6" customFormat="false" ht="161.25" hidden="false" customHeight="true" outlineLevel="0" collapsed="false">
      <c r="D6" s="5" t="s">
        <v>2</v>
      </c>
      <c r="E6" s="5"/>
      <c r="F6" s="5"/>
      <c r="G6" s="5"/>
    </row>
    <row r="7" customFormat="false" ht="16.5" hidden="false" customHeight="true" outlineLevel="0" collapsed="false">
      <c r="D7" s="6"/>
      <c r="E7" s="6"/>
      <c r="F7" s="6"/>
      <c r="G7" s="6"/>
    </row>
    <row r="9" customFormat="false" ht="19.5" hidden="false" customHeight="false" outlineLevel="0" collapsed="false">
      <c r="D9" s="7" t="s">
        <v>3</v>
      </c>
      <c r="E9" s="7"/>
      <c r="F9" s="7"/>
      <c r="G9" s="7"/>
    </row>
    <row r="10" customFormat="false" ht="201" hidden="false" customHeight="true" outlineLevel="0" collapsed="false">
      <c r="D10" s="8" t="s">
        <v>4</v>
      </c>
      <c r="E10" s="9" t="s">
        <v>5</v>
      </c>
      <c r="F10" s="10" t="s">
        <v>6</v>
      </c>
      <c r="G10" s="10"/>
    </row>
    <row r="11" customFormat="false" ht="18" hidden="false" customHeight="false" outlineLevel="0" collapsed="false">
      <c r="D11" s="11" t="s">
        <v>7</v>
      </c>
      <c r="E11" s="11"/>
      <c r="F11" s="12" t="s">
        <v>8</v>
      </c>
      <c r="G11" s="13" t="s">
        <v>9</v>
      </c>
    </row>
    <row r="12" customFormat="false" ht="15" hidden="false" customHeight="true" outlineLevel="0" collapsed="false">
      <c r="B12" s="14"/>
      <c r="D12" s="15" t="s">
        <v>10</v>
      </c>
      <c r="E12" s="15"/>
      <c r="F12" s="16" t="s">
        <v>705</v>
      </c>
      <c r="G12" s="17" t="s">
        <v>11</v>
      </c>
      <c r="J12" s="18" t="s">
        <v>12</v>
      </c>
    </row>
    <row r="13" customFormat="false" ht="15" hidden="false" customHeight="true" outlineLevel="0" collapsed="false">
      <c r="B13" s="14"/>
      <c r="D13" s="19" t="s">
        <v>13</v>
      </c>
      <c r="E13" s="19"/>
      <c r="F13" s="16"/>
      <c r="G13" s="20" t="s">
        <v>14</v>
      </c>
      <c r="J13" s="14"/>
    </row>
    <row r="14" customFormat="false" ht="15" hidden="false" customHeight="true" outlineLevel="0" collapsed="false">
      <c r="D14" s="15" t="s">
        <v>15</v>
      </c>
      <c r="E14" s="15"/>
      <c r="F14" s="21"/>
      <c r="G14" s="17" t="s">
        <v>16</v>
      </c>
    </row>
    <row r="15" customFormat="false" ht="15" hidden="false" customHeight="true" outlineLevel="0" collapsed="false">
      <c r="D15" s="19" t="s">
        <v>17</v>
      </c>
      <c r="E15" s="19"/>
      <c r="F15" s="22" t="s">
        <v>18</v>
      </c>
      <c r="G15" s="20" t="s">
        <v>19</v>
      </c>
    </row>
    <row r="16" customFormat="false" ht="15" hidden="false" customHeight="true" outlineLevel="0" collapsed="false">
      <c r="D16" s="19" t="s">
        <v>20</v>
      </c>
      <c r="E16" s="19"/>
      <c r="F16" s="22"/>
      <c r="G16" s="20" t="s">
        <v>21</v>
      </c>
    </row>
    <row r="17" customFormat="false" ht="16.5" hidden="false" customHeight="true" outlineLevel="0" collapsed="false">
      <c r="D17" s="19" t="s">
        <v>22</v>
      </c>
      <c r="E17" s="19"/>
      <c r="F17" s="22"/>
      <c r="G17" s="20" t="s">
        <v>23</v>
      </c>
    </row>
    <row r="18" customFormat="false" ht="45" hidden="false" customHeight="true" outlineLevel="0" collapsed="false">
      <c r="D18" s="15" t="s">
        <v>24</v>
      </c>
      <c r="E18" s="15"/>
      <c r="F18" s="23" t="s">
        <v>25</v>
      </c>
      <c r="G18" s="17" t="s">
        <v>26</v>
      </c>
    </row>
    <row r="19" customFormat="false" ht="15" hidden="false" customHeight="true" outlineLevel="0" collapsed="false">
      <c r="B19" s="14"/>
      <c r="D19" s="19" t="s">
        <v>27</v>
      </c>
      <c r="E19" s="19"/>
      <c r="F19" s="24" t="s">
        <v>28</v>
      </c>
      <c r="G19" s="20" t="s">
        <v>29</v>
      </c>
      <c r="J19" s="18" t="s">
        <v>30</v>
      </c>
    </row>
    <row r="20" customFormat="false" ht="18" hidden="false" customHeight="true" outlineLevel="0" collapsed="false">
      <c r="B20" s="14"/>
      <c r="D20" s="25" t="s">
        <v>31</v>
      </c>
      <c r="E20" s="25"/>
      <c r="F20" s="26" t="s">
        <v>32</v>
      </c>
      <c r="G20" s="27" t="s">
        <v>33</v>
      </c>
      <c r="J20" s="18" t="s">
        <v>34</v>
      </c>
    </row>
    <row r="21" customFormat="false" ht="36.75" hidden="false" customHeight="true" outlineLevel="0" collapsed="false">
      <c r="B21" s="14"/>
      <c r="D21" s="28" t="s">
        <v>35</v>
      </c>
      <c r="E21" s="28"/>
      <c r="F21" s="29" t="s">
        <v>36</v>
      </c>
      <c r="G21" s="30" t="s">
        <v>37</v>
      </c>
      <c r="J21" s="18" t="s">
        <v>38</v>
      </c>
    </row>
    <row r="26" customFormat="false" ht="19.5" hidden="false" customHeight="false" outlineLevel="0" collapsed="false">
      <c r="B26" s="31"/>
      <c r="D26" s="7" t="s">
        <v>39</v>
      </c>
      <c r="E26" s="7"/>
      <c r="F26" s="7"/>
      <c r="G26" s="7"/>
      <c r="J26" s="31" t="s">
        <v>40</v>
      </c>
    </row>
    <row r="27" customFormat="false" ht="126.75" hidden="false" customHeight="true" outlineLevel="0" collapsed="false">
      <c r="B27" s="31"/>
      <c r="D27" s="8" t="s">
        <v>4</v>
      </c>
      <c r="E27" s="9" t="s">
        <v>5</v>
      </c>
      <c r="F27" s="10" t="s">
        <v>41</v>
      </c>
      <c r="G27" s="10" t="s">
        <v>42</v>
      </c>
      <c r="J27" s="31"/>
    </row>
    <row r="28" customFormat="false" ht="18" hidden="false" customHeight="false" outlineLevel="0" collapsed="false">
      <c r="D28" s="11" t="s">
        <v>7</v>
      </c>
      <c r="E28" s="11"/>
      <c r="F28" s="12" t="s">
        <v>8</v>
      </c>
      <c r="G28" s="13" t="s">
        <v>9</v>
      </c>
    </row>
    <row r="29" customFormat="false" ht="15" hidden="false" customHeight="true" outlineLevel="0" collapsed="false">
      <c r="D29" s="15" t="s">
        <v>43</v>
      </c>
      <c r="E29" s="15"/>
      <c r="F29" s="24" t="s">
        <v>44</v>
      </c>
      <c r="G29" s="20" t="s">
        <v>45</v>
      </c>
    </row>
    <row r="30" customFormat="false" ht="15" hidden="false" customHeight="true" outlineLevel="0" collapsed="false">
      <c r="D30" s="32" t="s">
        <v>46</v>
      </c>
      <c r="E30" s="32"/>
      <c r="F30" s="33" t="s">
        <v>47</v>
      </c>
      <c r="G30" s="34" t="s">
        <v>48</v>
      </c>
    </row>
    <row r="31" customFormat="false" ht="30" hidden="false" customHeight="true" outlineLevel="0" collapsed="false">
      <c r="D31" s="19" t="s">
        <v>49</v>
      </c>
      <c r="E31" s="19"/>
      <c r="F31" s="24" t="s">
        <v>50</v>
      </c>
      <c r="G31" s="20" t="s">
        <v>51</v>
      </c>
    </row>
    <row r="32" customFormat="false" ht="15" hidden="false" customHeight="true" outlineLevel="0" collapsed="false">
      <c r="D32" s="32" t="s">
        <v>52</v>
      </c>
      <c r="E32" s="32"/>
      <c r="F32" s="33" t="s">
        <v>53</v>
      </c>
      <c r="G32" s="34" t="s">
        <v>54</v>
      </c>
    </row>
    <row r="33" customFormat="false" ht="15.75" hidden="false" customHeight="true" outlineLevel="0" collapsed="false">
      <c r="D33" s="19" t="s">
        <v>55</v>
      </c>
      <c r="E33" s="19"/>
      <c r="F33" s="24" t="s">
        <v>56</v>
      </c>
      <c r="G33" s="20" t="s">
        <v>57</v>
      </c>
    </row>
    <row r="34" customFormat="false" ht="15" hidden="false" customHeight="true" outlineLevel="0" collapsed="false">
      <c r="D34" s="32" t="s">
        <v>58</v>
      </c>
      <c r="E34" s="32"/>
      <c r="F34" s="33" t="s">
        <v>59</v>
      </c>
      <c r="G34" s="34" t="s">
        <v>60</v>
      </c>
    </row>
    <row r="35" customFormat="false" ht="30" hidden="false" customHeight="true" outlineLevel="0" collapsed="false">
      <c r="D35" s="19" t="s">
        <v>61</v>
      </c>
      <c r="E35" s="19"/>
      <c r="F35" s="24" t="s">
        <v>62</v>
      </c>
      <c r="G35" s="20" t="s">
        <v>63</v>
      </c>
    </row>
    <row r="36" customFormat="false" ht="30" hidden="false" customHeight="true" outlineLevel="0" collapsed="false">
      <c r="D36" s="32" t="s">
        <v>64</v>
      </c>
      <c r="E36" s="32"/>
      <c r="F36" s="33" t="s">
        <v>65</v>
      </c>
      <c r="G36" s="34" t="s">
        <v>66</v>
      </c>
    </row>
    <row r="37" customFormat="false" ht="15" hidden="false" customHeight="true" outlineLevel="0" collapsed="false">
      <c r="D37" s="19" t="s">
        <v>67</v>
      </c>
      <c r="E37" s="19"/>
      <c r="F37" s="24" t="s">
        <v>68</v>
      </c>
      <c r="G37" s="20" t="s">
        <v>69</v>
      </c>
    </row>
    <row r="38" customFormat="false" ht="15" hidden="false" customHeight="true" outlineLevel="0" collapsed="false">
      <c r="D38" s="32" t="s">
        <v>70</v>
      </c>
      <c r="E38" s="32"/>
      <c r="F38" s="33" t="s">
        <v>71</v>
      </c>
      <c r="G38" s="34" t="s">
        <v>72</v>
      </c>
    </row>
    <row r="39" customFormat="false" ht="15" hidden="false" customHeight="true" outlineLevel="0" collapsed="false">
      <c r="D39" s="19" t="s">
        <v>73</v>
      </c>
      <c r="E39" s="19"/>
      <c r="F39" s="24" t="s">
        <v>74</v>
      </c>
      <c r="G39" s="20" t="s">
        <v>75</v>
      </c>
    </row>
    <row r="40" customFormat="false" ht="15" hidden="false" customHeight="true" outlineLevel="0" collapsed="false">
      <c r="D40" s="32" t="s">
        <v>76</v>
      </c>
      <c r="E40" s="32"/>
      <c r="F40" s="33" t="s">
        <v>77</v>
      </c>
      <c r="G40" s="34" t="s">
        <v>78</v>
      </c>
    </row>
    <row r="41" customFormat="false" ht="15" hidden="false" customHeight="true" outlineLevel="0" collapsed="false">
      <c r="D41" s="19" t="s">
        <v>79</v>
      </c>
      <c r="E41" s="19"/>
      <c r="F41" s="24" t="s">
        <v>80</v>
      </c>
      <c r="G41" s="20" t="s">
        <v>81</v>
      </c>
    </row>
    <row r="42" customFormat="false" ht="15" hidden="false" customHeight="true" outlineLevel="0" collapsed="false">
      <c r="D42" s="32" t="s">
        <v>82</v>
      </c>
      <c r="E42" s="32"/>
      <c r="F42" s="33" t="s">
        <v>83</v>
      </c>
      <c r="G42" s="34" t="s">
        <v>84</v>
      </c>
    </row>
    <row r="43" customFormat="false" ht="15" hidden="false" customHeight="true" outlineLevel="0" collapsed="false">
      <c r="D43" s="19" t="s">
        <v>85</v>
      </c>
      <c r="E43" s="19"/>
      <c r="F43" s="24" t="s">
        <v>86</v>
      </c>
      <c r="G43" s="20" t="s">
        <v>87</v>
      </c>
    </row>
    <row r="44" customFormat="false" ht="15" hidden="false" customHeight="true" outlineLevel="0" collapsed="false">
      <c r="D44" s="32" t="s">
        <v>88</v>
      </c>
      <c r="E44" s="32"/>
      <c r="F44" s="33" t="s">
        <v>89</v>
      </c>
      <c r="G44" s="34" t="s">
        <v>90</v>
      </c>
    </row>
    <row r="45" customFormat="false" ht="30" hidden="false" customHeight="true" outlineLevel="0" collapsed="false">
      <c r="D45" s="19" t="s">
        <v>91</v>
      </c>
      <c r="E45" s="19"/>
      <c r="F45" s="24" t="s">
        <v>92</v>
      </c>
      <c r="G45" s="20" t="s">
        <v>93</v>
      </c>
    </row>
    <row r="46" customFormat="false" ht="30" hidden="false" customHeight="true" outlineLevel="0" collapsed="false">
      <c r="D46" s="32" t="s">
        <v>94</v>
      </c>
      <c r="E46" s="32"/>
      <c r="F46" s="33" t="s">
        <v>95</v>
      </c>
      <c r="G46" s="34" t="s">
        <v>96</v>
      </c>
    </row>
    <row r="47" customFormat="false" ht="15" hidden="false" customHeight="true" outlineLevel="0" collapsed="false">
      <c r="D47" s="19" t="s">
        <v>97</v>
      </c>
      <c r="E47" s="19"/>
      <c r="F47" s="24" t="s">
        <v>98</v>
      </c>
      <c r="G47" s="20" t="s">
        <v>99</v>
      </c>
    </row>
    <row r="48" customFormat="false" ht="15" hidden="false" customHeight="true" outlineLevel="0" collapsed="false">
      <c r="D48" s="19" t="s">
        <v>100</v>
      </c>
      <c r="E48" s="19"/>
      <c r="F48" s="24" t="s">
        <v>101</v>
      </c>
      <c r="G48" s="20" t="s">
        <v>102</v>
      </c>
    </row>
    <row r="49" customFormat="false" ht="123" hidden="false" customHeight="true" outlineLevel="0" collapsed="false">
      <c r="D49" s="28" t="s">
        <v>103</v>
      </c>
      <c r="E49" s="28"/>
      <c r="F49" s="35" t="s">
        <v>104</v>
      </c>
      <c r="G49" s="30" t="s">
        <v>105</v>
      </c>
    </row>
    <row r="52" customFormat="false" ht="15" hidden="false" customHeight="false" outlineLevel="0" collapsed="false">
      <c r="G52" s="36"/>
    </row>
    <row r="53" customFormat="false" ht="15" hidden="false" customHeight="false" outlineLevel="0" collapsed="false">
      <c r="G53" s="36"/>
    </row>
    <row r="54" customFormat="false" ht="19.5" hidden="false" customHeight="false" outlineLevel="0" collapsed="false">
      <c r="B54" s="31"/>
      <c r="D54" s="7" t="s">
        <v>106</v>
      </c>
      <c r="E54" s="7"/>
      <c r="F54" s="7"/>
      <c r="G54" s="7"/>
      <c r="J54" s="31" t="s">
        <v>107</v>
      </c>
    </row>
    <row r="55" customFormat="false" ht="69.75" hidden="false" customHeight="true" outlineLevel="0" collapsed="false">
      <c r="B55" s="31"/>
      <c r="D55" s="8" t="s">
        <v>4</v>
      </c>
      <c r="E55" s="9" t="s">
        <v>5</v>
      </c>
      <c r="F55" s="10" t="s">
        <v>108</v>
      </c>
      <c r="G55" s="10" t="s">
        <v>42</v>
      </c>
      <c r="J55" s="31"/>
    </row>
    <row r="56" customFormat="false" ht="18" hidden="false" customHeight="false" outlineLevel="0" collapsed="false">
      <c r="D56" s="11" t="s">
        <v>7</v>
      </c>
      <c r="E56" s="11"/>
      <c r="F56" s="12" t="s">
        <v>8</v>
      </c>
      <c r="G56" s="13" t="s">
        <v>9</v>
      </c>
    </row>
    <row r="57" customFormat="false" ht="15" hidden="false" customHeight="true" outlineLevel="0" collapsed="false">
      <c r="D57" s="15" t="s">
        <v>109</v>
      </c>
      <c r="E57" s="15"/>
      <c r="F57" s="24" t="s">
        <v>110</v>
      </c>
      <c r="G57" s="20" t="s">
        <v>111</v>
      </c>
    </row>
    <row r="58" customFormat="false" ht="15" hidden="false" customHeight="true" outlineLevel="0" collapsed="false">
      <c r="D58" s="32" t="s">
        <v>112</v>
      </c>
      <c r="E58" s="32"/>
      <c r="F58" s="33" t="s">
        <v>113</v>
      </c>
      <c r="G58" s="34" t="s">
        <v>114</v>
      </c>
    </row>
    <row r="59" customFormat="false" ht="45.75" hidden="false" customHeight="true" outlineLevel="0" collapsed="false">
      <c r="D59" s="19" t="s">
        <v>115</v>
      </c>
      <c r="E59" s="19"/>
      <c r="F59" s="24" t="s">
        <v>116</v>
      </c>
      <c r="G59" s="20" t="s">
        <v>117</v>
      </c>
    </row>
    <row r="60" customFormat="false" ht="15" hidden="false" customHeight="true" outlineLevel="0" collapsed="false">
      <c r="D60" s="32" t="s">
        <v>118</v>
      </c>
      <c r="E60" s="32"/>
      <c r="F60" s="33" t="s">
        <v>693</v>
      </c>
      <c r="G60" s="34" t="s">
        <v>120</v>
      </c>
    </row>
    <row r="61" customFormat="false" ht="30" hidden="false" customHeight="true" outlineLevel="0" collapsed="false">
      <c r="D61" s="19" t="s">
        <v>121</v>
      </c>
      <c r="E61" s="19"/>
      <c r="F61" s="24" t="s">
        <v>122</v>
      </c>
      <c r="G61" s="20" t="s">
        <v>123</v>
      </c>
    </row>
    <row r="62" customFormat="false" ht="15" hidden="false" customHeight="true" outlineLevel="0" collapsed="false">
      <c r="D62" s="32" t="s">
        <v>124</v>
      </c>
      <c r="E62" s="32"/>
      <c r="F62" s="33" t="s">
        <v>125</v>
      </c>
      <c r="G62" s="34" t="s">
        <v>126</v>
      </c>
    </row>
    <row r="63" customFormat="false" ht="28.5" hidden="false" customHeight="true" outlineLevel="0" collapsed="false">
      <c r="D63" s="19" t="s">
        <v>127</v>
      </c>
      <c r="E63" s="19"/>
      <c r="F63" s="24" t="s">
        <v>128</v>
      </c>
      <c r="G63" s="20" t="s">
        <v>129</v>
      </c>
    </row>
    <row r="64" customFormat="false" ht="15" hidden="false" customHeight="true" outlineLevel="0" collapsed="false">
      <c r="D64" s="32" t="s">
        <v>130</v>
      </c>
      <c r="E64" s="32"/>
      <c r="F64" s="33" t="s">
        <v>131</v>
      </c>
      <c r="G64" s="34" t="s">
        <v>132</v>
      </c>
    </row>
    <row r="65" customFormat="false" ht="30" hidden="false" customHeight="true" outlineLevel="0" collapsed="false">
      <c r="D65" s="19" t="s">
        <v>133</v>
      </c>
      <c r="E65" s="19"/>
      <c r="F65" s="24" t="s">
        <v>134</v>
      </c>
      <c r="G65" s="20" t="s">
        <v>135</v>
      </c>
    </row>
    <row r="66" customFormat="false" ht="15" hidden="false" customHeight="true" outlineLevel="0" collapsed="false">
      <c r="D66" s="32" t="s">
        <v>136</v>
      </c>
      <c r="E66" s="32"/>
      <c r="F66" s="33" t="s">
        <v>137</v>
      </c>
      <c r="G66" s="34" t="s">
        <v>138</v>
      </c>
    </row>
    <row r="67" customFormat="false" ht="45" hidden="false" customHeight="true" outlineLevel="0" collapsed="false">
      <c r="D67" s="19" t="s">
        <v>139</v>
      </c>
      <c r="E67" s="19"/>
      <c r="F67" s="37" t="s">
        <v>140</v>
      </c>
      <c r="G67" s="34" t="s">
        <v>141</v>
      </c>
    </row>
    <row r="68" customFormat="false" ht="18" hidden="false" customHeight="true" outlineLevel="0" collapsed="false">
      <c r="D68" s="28" t="s">
        <v>142</v>
      </c>
      <c r="E68" s="28"/>
      <c r="F68" s="29"/>
      <c r="G68" s="30" t="s">
        <v>143</v>
      </c>
    </row>
    <row r="73" customFormat="false" ht="19.5" hidden="false" customHeight="false" outlineLevel="0" collapsed="false">
      <c r="B73" s="14"/>
      <c r="D73" s="7" t="s">
        <v>144</v>
      </c>
      <c r="E73" s="7"/>
      <c r="F73" s="7"/>
      <c r="G73" s="7"/>
      <c r="J73" s="18" t="s">
        <v>145</v>
      </c>
    </row>
    <row r="74" customFormat="false" ht="84.75" hidden="false" customHeight="true" outlineLevel="0" collapsed="false">
      <c r="B74" s="14"/>
      <c r="D74" s="8" t="s">
        <v>4</v>
      </c>
      <c r="E74" s="9" t="s">
        <v>5</v>
      </c>
      <c r="F74" s="10" t="s">
        <v>146</v>
      </c>
      <c r="G74" s="10" t="s">
        <v>42</v>
      </c>
      <c r="J74" s="14"/>
    </row>
    <row r="75" customFormat="false" ht="18" hidden="false" customHeight="false" outlineLevel="0" collapsed="false">
      <c r="D75" s="11" t="s">
        <v>7</v>
      </c>
      <c r="E75" s="11"/>
      <c r="F75" s="12" t="s">
        <v>8</v>
      </c>
      <c r="G75" s="13" t="s">
        <v>9</v>
      </c>
    </row>
    <row r="76" customFormat="false" ht="15" hidden="false" customHeight="true" outlineLevel="0" collapsed="false">
      <c r="D76" s="15" t="s">
        <v>147</v>
      </c>
      <c r="E76" s="15"/>
      <c r="F76" s="38" t="s">
        <v>148</v>
      </c>
      <c r="G76" s="20" t="s">
        <v>149</v>
      </c>
    </row>
    <row r="77" customFormat="false" ht="15" hidden="false" customHeight="true" outlineLevel="0" collapsed="false">
      <c r="D77" s="39" t="s">
        <v>150</v>
      </c>
      <c r="E77" s="39"/>
      <c r="F77" s="38"/>
      <c r="G77" s="40" t="s">
        <v>151</v>
      </c>
    </row>
    <row r="78" customFormat="false" ht="15" hidden="false" customHeight="true" outlineLevel="0" collapsed="false">
      <c r="D78" s="19" t="s">
        <v>152</v>
      </c>
      <c r="E78" s="19"/>
      <c r="F78" s="38"/>
      <c r="G78" s="20" t="s">
        <v>153</v>
      </c>
    </row>
    <row r="79" customFormat="false" ht="30" hidden="false" customHeight="true" outlineLevel="0" collapsed="false">
      <c r="D79" s="39" t="s">
        <v>154</v>
      </c>
      <c r="E79" s="39"/>
      <c r="F79" s="38"/>
      <c r="G79" s="40" t="s">
        <v>155</v>
      </c>
    </row>
    <row r="80" customFormat="false" ht="15" hidden="false" customHeight="true" outlineLevel="0" collapsed="false">
      <c r="D80" s="19" t="s">
        <v>156</v>
      </c>
      <c r="E80" s="19"/>
      <c r="F80" s="38"/>
      <c r="G80" s="20" t="s">
        <v>157</v>
      </c>
    </row>
    <row r="81" customFormat="false" ht="15" hidden="false" customHeight="true" outlineLevel="0" collapsed="false">
      <c r="D81" s="32" t="s">
        <v>158</v>
      </c>
      <c r="E81" s="32"/>
      <c r="F81" s="38"/>
      <c r="G81" s="34" t="s">
        <v>159</v>
      </c>
    </row>
    <row r="82" customFormat="false" ht="39.75" hidden="false" customHeight="true" outlineLevel="0" collapsed="false">
      <c r="D82" s="19" t="s">
        <v>160</v>
      </c>
      <c r="E82" s="19"/>
      <c r="F82" s="24" t="s">
        <v>161</v>
      </c>
      <c r="G82" s="20" t="s">
        <v>162</v>
      </c>
    </row>
    <row r="83" customFormat="false" ht="18" hidden="false" customHeight="true" outlineLevel="0" collapsed="false">
      <c r="D83" s="28" t="s">
        <v>142</v>
      </c>
      <c r="E83" s="28"/>
      <c r="F83" s="29"/>
      <c r="G83" s="30" t="s">
        <v>163</v>
      </c>
    </row>
    <row r="88" customFormat="false" ht="19.5" hidden="false" customHeight="false" outlineLevel="0" collapsed="false">
      <c r="B88" s="14"/>
      <c r="D88" s="7" t="s">
        <v>164</v>
      </c>
      <c r="E88" s="7"/>
      <c r="F88" s="7"/>
      <c r="G88" s="7"/>
      <c r="J88" s="18" t="s">
        <v>165</v>
      </c>
    </row>
    <row r="89" customFormat="false" ht="88.5" hidden="false" customHeight="true" outlineLevel="0" collapsed="false">
      <c r="B89" s="14"/>
      <c r="D89" s="8" t="s">
        <v>4</v>
      </c>
      <c r="E89" s="9" t="s">
        <v>5</v>
      </c>
      <c r="F89" s="10" t="s">
        <v>166</v>
      </c>
      <c r="G89" s="10" t="s">
        <v>42</v>
      </c>
      <c r="J89" s="14"/>
    </row>
    <row r="90" customFormat="false" ht="18" hidden="false" customHeight="false" outlineLevel="0" collapsed="false">
      <c r="D90" s="11" t="s">
        <v>7</v>
      </c>
      <c r="E90" s="11"/>
      <c r="F90" s="12" t="s">
        <v>8</v>
      </c>
      <c r="G90" s="13" t="s">
        <v>9</v>
      </c>
    </row>
    <row r="91" customFormat="false" ht="15" hidden="false" customHeight="true" outlineLevel="0" collapsed="false">
      <c r="D91" s="15" t="s">
        <v>167</v>
      </c>
      <c r="E91" s="15"/>
      <c r="F91" s="41" t="s">
        <v>168</v>
      </c>
      <c r="G91" s="20" t="s">
        <v>169</v>
      </c>
    </row>
    <row r="92" customFormat="false" ht="15" hidden="false" customHeight="true" outlineLevel="0" collapsed="false">
      <c r="D92" s="39" t="s">
        <v>170</v>
      </c>
      <c r="E92" s="39"/>
      <c r="F92" s="41"/>
      <c r="G92" s="40" t="s">
        <v>171</v>
      </c>
    </row>
    <row r="93" customFormat="false" ht="30" hidden="false" customHeight="true" outlineLevel="0" collapsed="false">
      <c r="D93" s="19" t="s">
        <v>172</v>
      </c>
      <c r="E93" s="19"/>
      <c r="F93" s="41"/>
      <c r="G93" s="20" t="s">
        <v>173</v>
      </c>
    </row>
    <row r="94" customFormat="false" ht="15" hidden="false" customHeight="true" outlineLevel="0" collapsed="false">
      <c r="D94" s="32" t="s">
        <v>174</v>
      </c>
      <c r="E94" s="32"/>
      <c r="F94" s="41"/>
      <c r="G94" s="34" t="s">
        <v>175</v>
      </c>
    </row>
    <row r="95" customFormat="false" ht="39.75" hidden="false" customHeight="true" outlineLevel="0" collapsed="false">
      <c r="D95" s="19" t="s">
        <v>176</v>
      </c>
      <c r="E95" s="19"/>
      <c r="F95" s="26" t="s">
        <v>177</v>
      </c>
      <c r="G95" s="20" t="s">
        <v>178</v>
      </c>
    </row>
    <row r="96" customFormat="false" ht="18" hidden="false" customHeight="true" outlineLevel="0" collapsed="false">
      <c r="D96" s="28" t="s">
        <v>142</v>
      </c>
      <c r="E96" s="28"/>
      <c r="F96" s="29"/>
      <c r="G96" s="30" t="s">
        <v>179</v>
      </c>
    </row>
    <row r="98">
      <c r="B98" t="s" s="1">
        <v>694</v>
      </c>
      <c r="C98" s="1"/>
      <c r="D98" s="1"/>
      <c r="E98" s="1"/>
      <c r="F98" s="1"/>
      <c r="G98" s="1"/>
    </row>
    <row r="99">
      <c r="B99" t="s" s="1">
        <v>695</v>
      </c>
      <c r="C99" t="s" s="1">
        <v>696</v>
      </c>
      <c r="D99" t="s" s="1">
        <v>697</v>
      </c>
      <c r="E99" t="s" s="1">
        <v>698</v>
      </c>
      <c r="F99" t="s" s="1">
        <v>699</v>
      </c>
      <c r="G99" t="s" s="1">
        <v>700</v>
      </c>
    </row>
    <row r="100">
      <c r="B100" t="s" s="1">
        <v>701</v>
      </c>
      <c r="C100" t="s" s="1">
        <v>702</v>
      </c>
      <c r="D100" s="1"/>
      <c r="E100" t="b" s="1">
        <v>1</v>
      </c>
      <c r="F100" t="s" s="1">
        <v>703</v>
      </c>
      <c r="G100" t="s" s="1">
        <v>704</v>
      </c>
    </row>
  </sheetData>
  <mergeCells count="78">
    <mergeCell ref="D6:G6"/>
    <mergeCell ref="D9:G9"/>
    <mergeCell ref="F10:G10"/>
    <mergeCell ref="D11:E11"/>
    <mergeCell ref="D12:E12"/>
    <mergeCell ref="F12:F13"/>
    <mergeCell ref="D13:E13"/>
    <mergeCell ref="D14:E14"/>
    <mergeCell ref="D15:E15"/>
    <mergeCell ref="F15:F17"/>
    <mergeCell ref="D16:E16"/>
    <mergeCell ref="D17:E17"/>
    <mergeCell ref="D18:E18"/>
    <mergeCell ref="D19:E19"/>
    <mergeCell ref="D20:E20"/>
    <mergeCell ref="D21:E21"/>
    <mergeCell ref="D26:G26"/>
    <mergeCell ref="F27:G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4:G54"/>
    <mergeCell ref="F55:G55"/>
    <mergeCell ref="D56:E56"/>
    <mergeCell ref="D57:E57"/>
    <mergeCell ref="D58:E58"/>
    <mergeCell ref="D59:E59"/>
    <mergeCell ref="D60:E60"/>
    <mergeCell ref="D61:E61"/>
    <mergeCell ref="D62:E62"/>
    <mergeCell ref="D63:E63"/>
    <mergeCell ref="D64:E64"/>
    <mergeCell ref="D65:E65"/>
    <mergeCell ref="D66:E66"/>
    <mergeCell ref="D67:E67"/>
    <mergeCell ref="D68:E68"/>
    <mergeCell ref="D73:G73"/>
    <mergeCell ref="F74:G74"/>
    <mergeCell ref="D75:E75"/>
    <mergeCell ref="D76:E76"/>
    <mergeCell ref="F76:F81"/>
    <mergeCell ref="D77:E77"/>
    <mergeCell ref="D78:E78"/>
    <mergeCell ref="D79:E79"/>
    <mergeCell ref="D80:E80"/>
    <mergeCell ref="D81:E81"/>
    <mergeCell ref="D82:E82"/>
    <mergeCell ref="D83:E83"/>
    <mergeCell ref="D88:G88"/>
    <mergeCell ref="F89:G89"/>
    <mergeCell ref="D90:E90"/>
    <mergeCell ref="D91:E91"/>
    <mergeCell ref="F91:F94"/>
    <mergeCell ref="D92:E92"/>
    <mergeCell ref="D93:E93"/>
    <mergeCell ref="D94:E94"/>
    <mergeCell ref="D95:E95"/>
    <mergeCell ref="D96:E96"/>
    <mergeCell ref="B98:G98"/>
  </mergeCells>
  <hyperlinks>
    <hyperlink ref="J1" r:id="rId1" display="www.commerzbank.com"/>
    <hyperlink ref="J12" location="'Set NonZero Values'!A1" display="Set Default Values'!A1"/>
    <hyperlink ref="J19" location="'Rating Groups'!A1" display="Rating Groups'!A1"/>
    <hyperlink ref="J20" location="Limit!A1" display="Limit!A1"/>
    <hyperlink ref="J21" location="'Max Limit'!A1" display="Max Limit'!A1"/>
    <hyperlink ref="J26" location="'Balance Quality'!A1" display="Balance Quality'!A1"/>
    <hyperlink ref="J54" location="'Balance Quality in Dynamic'!A1" display="Balance Quality in Dynamic'!A1"/>
    <hyperlink ref="J73" location="'Bank Qualitative factors'!A1" display="Bank Qualitative factors'!A1"/>
    <hyperlink ref="J88" location="'Central Bank Req'!A1" display="Central Bank Req'!A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3: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734375" defaultRowHeight="15" zeroHeight="false" outlineLevelRow="0" outlineLevelCol="0"/>
  <cols>
    <col min="3" max="3" customWidth="true" hidden="false" style="0" width="21.33" collapsed="false" outlineLevel="0"/>
    <col min="4" max="4" customWidth="true" hidden="false" style="0" width="38.01" collapsed="false" outlineLevel="0"/>
    <col min="5" max="5" customWidth="true" hidden="false" style="0" width="22.11" collapsed="false" outlineLevel="0"/>
  </cols>
  <sheetData>
    <row r="3" customFormat="false" ht="20.25" hidden="false" customHeight="false" outlineLevel="0" collapsed="false">
      <c r="B3" s="4" t="s">
        <v>180</v>
      </c>
      <c r="C3" s="4"/>
      <c r="D3" s="4"/>
    </row>
    <row r="6" s="1" customFormat="true" ht="15" hidden="false" customHeight="true" outlineLevel="0" collapsed="false">
      <c r="C6" s="42" t="s">
        <v>181</v>
      </c>
      <c r="D6" s="42"/>
      <c r="E6" s="42"/>
    </row>
    <row r="7" s="1" customFormat="true" ht="15" hidden="false" customHeight="false" outlineLevel="0" collapsed="false">
      <c r="C7" s="43" t="s">
        <v>182</v>
      </c>
      <c r="D7" s="44" t="s">
        <v>183</v>
      </c>
      <c r="E7" s="45" t="s">
        <v>184</v>
      </c>
    </row>
    <row r="8" s="1" customFormat="true" ht="15" hidden="false" customHeight="false" outlineLevel="0" collapsed="false">
      <c r="C8" s="46" t="s">
        <v>185</v>
      </c>
      <c r="D8" s="47"/>
      <c r="E8" s="48"/>
    </row>
    <row r="9" s="1" customFormat="true" ht="19.5" hidden="false" customHeight="true" outlineLevel="0" collapsed="false">
      <c r="C9" s="49" t="s">
        <v>186</v>
      </c>
      <c r="D9" s="50" t="s">
        <v>187</v>
      </c>
      <c r="E9" s="51" t="s">
        <v>35</v>
      </c>
    </row>
    <row r="10" s="1" customFormat="true" ht="15" hidden="false" customHeight="false" outlineLevel="0" collapsed="false">
      <c r="C10" s="52" t="s">
        <v>188</v>
      </c>
      <c r="D10" s="53" t="s">
        <v>189</v>
      </c>
      <c r="E10" s="54" t="n">
        <v>5000</v>
      </c>
    </row>
    <row r="11" customFormat="false" ht="15" hidden="false" customHeight="false" outlineLevel="0" collapsed="false">
      <c r="A11" s="1"/>
    </row>
    <row r="14" s="1" customFormat="true" ht="15" hidden="false" customHeight="true" outlineLevel="0" collapsed="false">
      <c r="C14" s="42" t="s">
        <v>190</v>
      </c>
      <c r="D14" s="42"/>
      <c r="E14" s="55"/>
    </row>
    <row r="15" s="1" customFormat="true" ht="15" hidden="false" customHeight="false" outlineLevel="0" collapsed="false">
      <c r="C15" s="43" t="s">
        <v>191</v>
      </c>
      <c r="D15" s="45" t="s">
        <v>192</v>
      </c>
      <c r="E15" s="55"/>
    </row>
    <row r="16" s="1" customFormat="true" ht="15" hidden="false" customHeight="false" outlineLevel="0" collapsed="false">
      <c r="C16" s="46" t="s">
        <v>193</v>
      </c>
      <c r="D16" s="48"/>
      <c r="E16" s="36"/>
    </row>
    <row r="17" s="1" customFormat="true" ht="22.5" hidden="false" customHeight="true" outlineLevel="0" collapsed="false">
      <c r="C17" s="49" t="s">
        <v>194</v>
      </c>
      <c r="D17" s="51" t="s">
        <v>195</v>
      </c>
      <c r="E17" s="56"/>
    </row>
    <row r="18" s="1" customFormat="true" ht="15" hidden="false" customHeight="false" outlineLevel="0" collapsed="false">
      <c r="C18" s="52" t="n">
        <v>2010</v>
      </c>
      <c r="D18" s="54" t="n">
        <v>0.49</v>
      </c>
      <c r="E18" s="57"/>
    </row>
    <row r="19" s="1" customFormat="true" ht="15" hidden="false" customHeight="false" outlineLevel="0" collapsed="false">
      <c r="E19" s="36"/>
    </row>
    <row r="20" customFormat="false" ht="15" hidden="false" customHeight="false" outlineLevel="0" collapsed="false">
      <c r="A20" s="1"/>
    </row>
    <row r="22" s="1" customFormat="true" ht="15" hidden="false" customHeight="true" outlineLevel="0" collapsed="false">
      <c r="C22" s="42" t="s">
        <v>196</v>
      </c>
      <c r="D22" s="42"/>
      <c r="E22" s="42"/>
    </row>
    <row r="23" s="1" customFormat="true" ht="15" hidden="false" customHeight="false" outlineLevel="0" collapsed="false">
      <c r="C23" s="43" t="s">
        <v>191</v>
      </c>
      <c r="D23" s="44" t="s">
        <v>197</v>
      </c>
      <c r="E23" s="45" t="s">
        <v>198</v>
      </c>
    </row>
    <row r="24" s="1" customFormat="true" ht="15" hidden="false" customHeight="false" outlineLevel="0" collapsed="false">
      <c r="C24" s="46" t="s">
        <v>193</v>
      </c>
      <c r="D24" s="47" t="s">
        <v>193</v>
      </c>
      <c r="E24" s="48"/>
    </row>
    <row r="25" s="1" customFormat="true" ht="30" hidden="false" customHeight="false" outlineLevel="0" collapsed="false">
      <c r="C25" s="49" t="s">
        <v>199</v>
      </c>
      <c r="D25" s="58" t="s">
        <v>200</v>
      </c>
      <c r="E25" s="51" t="s">
        <v>201</v>
      </c>
    </row>
    <row r="26" s="1" customFormat="true" ht="15" hidden="false" customHeight="false" outlineLevel="0" collapsed="false">
      <c r="C26" s="52" t="n">
        <v>2010</v>
      </c>
      <c r="D26" s="59" t="n">
        <v>2009</v>
      </c>
      <c r="E26" s="54" t="n">
        <v>0.94</v>
      </c>
    </row>
    <row r="27" customFormat="false" ht="15" hidden="false" customHeight="false" outlineLevel="0" collapsed="false">
      <c r="A27" s="1"/>
    </row>
    <row r="30" s="1" customFormat="true" ht="15" hidden="false" customHeight="true" outlineLevel="0" collapsed="false">
      <c r="C30" s="42" t="s">
        <v>202</v>
      </c>
      <c r="D30" s="42"/>
    </row>
    <row r="31" s="1" customFormat="true" ht="15" hidden="false" customHeight="false" outlineLevel="0" collapsed="false">
      <c r="C31" s="43" t="s">
        <v>182</v>
      </c>
      <c r="D31" s="45" t="s">
        <v>198</v>
      </c>
    </row>
    <row r="32" s="1" customFormat="true" ht="15" hidden="false" customHeight="false" outlineLevel="0" collapsed="false">
      <c r="C32" s="60" t="s">
        <v>185</v>
      </c>
      <c r="D32" s="61"/>
    </row>
    <row r="33" s="1" customFormat="true" ht="22.5" hidden="false" customHeight="true" outlineLevel="0" collapsed="false">
      <c r="C33" s="49" t="s">
        <v>186</v>
      </c>
      <c r="D33" s="51" t="s">
        <v>203</v>
      </c>
    </row>
    <row r="34" s="1" customFormat="true" ht="15" hidden="false" customHeight="false" outlineLevel="0" collapsed="false">
      <c r="C34" s="52" t="s">
        <v>188</v>
      </c>
      <c r="D34" s="54" t="n">
        <v>0.9</v>
      </c>
    </row>
    <row r="35" s="1" customFormat="true" ht="15" hidden="false" customHeight="false" outlineLevel="0" collapsed="false"/>
    <row r="36" customFormat="false" ht="15" hidden="false" customHeight="false" outlineLevel="0" collapsed="false">
      <c r="A36" s="1"/>
    </row>
    <row r="38" s="1" customFormat="true" ht="15" hidden="false" customHeight="true" outlineLevel="0" collapsed="false">
      <c r="C38" s="42" t="s">
        <v>204</v>
      </c>
      <c r="D38" s="42"/>
    </row>
    <row r="39" s="1" customFormat="true" ht="15" hidden="false" customHeight="false" outlineLevel="0" collapsed="false">
      <c r="C39" s="43" t="s">
        <v>182</v>
      </c>
      <c r="D39" s="45" t="s">
        <v>198</v>
      </c>
    </row>
    <row r="40" s="1" customFormat="true" ht="15" hidden="false" customHeight="false" outlineLevel="0" collapsed="false">
      <c r="C40" s="46" t="s">
        <v>185</v>
      </c>
      <c r="D40" s="48"/>
    </row>
    <row r="41" s="1" customFormat="true" ht="21" hidden="false" customHeight="true" outlineLevel="0" collapsed="false">
      <c r="C41" s="49" t="s">
        <v>186</v>
      </c>
      <c r="D41" s="51" t="s">
        <v>205</v>
      </c>
    </row>
    <row r="42" s="1" customFormat="true" ht="15" hidden="false" customHeight="false" outlineLevel="0" collapsed="false">
      <c r="C42" s="52" t="s">
        <v>188</v>
      </c>
      <c r="D42" s="54" t="n">
        <v>1</v>
      </c>
    </row>
    <row r="43" customFormat="false" ht="15" hidden="false" customHeight="false" outlineLevel="0" collapsed="false">
      <c r="A43" s="1"/>
    </row>
  </sheetData>
  <mergeCells count="5">
    <mergeCell ref="C6:E6"/>
    <mergeCell ref="C14:D14"/>
    <mergeCell ref="C22:E22"/>
    <mergeCell ref="C30:D30"/>
    <mergeCell ref="C38:D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3D69B"/>
    <pageSetUpPr fitToPage="false"/>
  </sheetPr>
  <dimension ref="A1:I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9" activeCellId="0" sqref="C109"/>
    </sheetView>
  </sheetViews>
  <sheetFormatPr defaultColWidth="8.734375" defaultRowHeight="15" zeroHeight="false" outlineLevelRow="0" outlineLevelCol="0"/>
  <cols>
    <col min="1" max="1" customWidth="true" hidden="false" style="0" width="9.11" collapsed="false" outlineLevel="0"/>
    <col min="3" max="3" customWidth="true" hidden="false" style="0" width="43.56" collapsed="false" outlineLevel="0"/>
    <col min="4" max="4" customWidth="true" hidden="false" style="0" width="34.32" collapsed="false" outlineLevel="0"/>
    <col min="5" max="5" customWidth="true" hidden="false" style="0" width="9.88" collapsed="false" outlineLevel="0"/>
  </cols>
  <sheetData>
    <row r="1" customFormat="false" ht="15" hidden="false" customHeight="false" outlineLevel="0" collapsed="false">
      <c r="F1" s="18" t="s">
        <v>206</v>
      </c>
    </row>
    <row r="2" customFormat="false" ht="15" hidden="false" customHeight="false" outlineLevel="0" collapsed="false">
      <c r="A2" s="14"/>
      <c r="F2" s="14"/>
    </row>
    <row r="3" customFormat="false" ht="20.25" hidden="false" customHeight="false" outlineLevel="0" collapsed="false">
      <c r="A3" s="14"/>
      <c r="B3" s="4" t="s">
        <v>207</v>
      </c>
      <c r="C3" s="4"/>
      <c r="F3" s="14"/>
    </row>
    <row r="4" customFormat="false" ht="15" hidden="false" customHeight="false" outlineLevel="0" collapsed="false">
      <c r="A4" s="14"/>
      <c r="F4" s="14"/>
    </row>
    <row r="5" customFormat="false" ht="45.75" hidden="false" customHeight="true" outlineLevel="0" collapsed="false">
      <c r="A5" s="14"/>
      <c r="C5" s="62" t="s">
        <v>208</v>
      </c>
      <c r="D5" s="62"/>
      <c r="E5" s="63"/>
      <c r="F5" s="14"/>
    </row>
    <row r="6" customFormat="false" ht="15" hidden="false" customHeight="false" outlineLevel="0" collapsed="false">
      <c r="A6" s="14"/>
      <c r="C6" s="63"/>
      <c r="D6" s="63"/>
      <c r="E6" s="63"/>
      <c r="F6" s="14"/>
    </row>
    <row r="8" customFormat="false" ht="15" hidden="false" customHeight="true" outlineLevel="0" collapsed="false">
      <c r="C8" s="7" t="s">
        <v>209</v>
      </c>
      <c r="D8" s="7"/>
    </row>
    <row r="9" customFormat="false" ht="18" hidden="false" customHeight="false" outlineLevel="0" collapsed="false">
      <c r="C9" s="11" t="s">
        <v>210</v>
      </c>
      <c r="D9" s="13" t="s">
        <v>211</v>
      </c>
    </row>
    <row r="10" customFormat="false" ht="15" hidden="false" customHeight="false" outlineLevel="0" collapsed="false">
      <c r="C10" s="64" t="s">
        <v>212</v>
      </c>
      <c r="D10" s="65" t="n">
        <v>0</v>
      </c>
      <c r="I10" s="66"/>
    </row>
    <row r="11" customFormat="false" ht="15" hidden="false" customHeight="false" outlineLevel="0" collapsed="false">
      <c r="C11" s="67" t="s">
        <v>213</v>
      </c>
      <c r="D11" s="68" t="n">
        <v>0.7</v>
      </c>
    </row>
    <row r="12" customFormat="false" ht="15" hidden="false" customHeight="false" outlineLevel="0" collapsed="false">
      <c r="C12" s="67" t="s">
        <v>214</v>
      </c>
      <c r="D12" s="68" t="n">
        <v>0.8</v>
      </c>
    </row>
    <row r="13" customFormat="false" ht="15" hidden="false" customHeight="false" outlineLevel="0" collapsed="false">
      <c r="C13" s="67" t="s">
        <v>215</v>
      </c>
      <c r="D13" s="68" t="n">
        <v>0.9</v>
      </c>
    </row>
    <row r="14" customFormat="false" ht="15" hidden="false" customHeight="false" outlineLevel="0" collapsed="false">
      <c r="C14" s="67" t="s">
        <v>216</v>
      </c>
      <c r="D14" s="68" t="n">
        <v>0.95</v>
      </c>
    </row>
    <row r="15" customFormat="false" ht="15" hidden="false" customHeight="false" outlineLevel="0" collapsed="false">
      <c r="C15" s="69" t="s">
        <v>217</v>
      </c>
      <c r="D15" s="70" t="n">
        <v>1</v>
      </c>
    </row>
    <row r="19" customFormat="false" ht="18" hidden="false" customHeight="false" outlineLevel="0" collapsed="false">
      <c r="C19" s="7" t="s">
        <v>218</v>
      </c>
      <c r="D19" s="7"/>
    </row>
    <row r="20" customFormat="false" ht="18" hidden="false" customHeight="false" outlineLevel="0" collapsed="false">
      <c r="C20" s="11" t="s">
        <v>219</v>
      </c>
      <c r="D20" s="13" t="s">
        <v>220</v>
      </c>
    </row>
    <row r="21" customFormat="false" ht="15" hidden="false" customHeight="false" outlineLevel="0" collapsed="false">
      <c r="C21" s="64" t="s">
        <v>221</v>
      </c>
      <c r="D21" s="65" t="n">
        <v>0.8</v>
      </c>
    </row>
    <row r="22" customFormat="false" ht="15" hidden="false" customHeight="false" outlineLevel="0" collapsed="false">
      <c r="C22" s="67" t="s">
        <v>222</v>
      </c>
      <c r="D22" s="68" t="n">
        <v>0.9</v>
      </c>
    </row>
    <row r="23" customFormat="false" ht="15" hidden="false" customHeight="false" outlineLevel="0" collapsed="false">
      <c r="C23" s="67" t="s">
        <v>223</v>
      </c>
      <c r="D23" s="68" t="n">
        <v>1</v>
      </c>
    </row>
    <row r="24" customFormat="false" ht="15" hidden="false" customHeight="false" outlineLevel="0" collapsed="false">
      <c r="C24" s="67" t="s">
        <v>224</v>
      </c>
      <c r="D24" s="68" t="n">
        <v>0.9</v>
      </c>
    </row>
    <row r="25" customFormat="false" ht="15" hidden="false" customHeight="false" outlineLevel="0" collapsed="false">
      <c r="C25" s="69" t="s">
        <v>225</v>
      </c>
      <c r="D25" s="70" t="n">
        <v>0.8</v>
      </c>
    </row>
    <row r="28" customFormat="false" ht="15.75" hidden="false" customHeight="true" outlineLevel="0" collapsed="false"/>
    <row r="29" customFormat="false" ht="18" hidden="false" customHeight="false" outlineLevel="0" collapsed="false">
      <c r="C29" s="71" t="s">
        <v>226</v>
      </c>
      <c r="D29" s="71"/>
    </row>
    <row r="30" customFormat="false" ht="18" hidden="false" customHeight="false" outlineLevel="0" collapsed="false">
      <c r="C30" s="11" t="s">
        <v>227</v>
      </c>
      <c r="D30" s="13" t="s">
        <v>228</v>
      </c>
    </row>
    <row r="31" customFormat="false" ht="15" hidden="false" customHeight="false" outlineLevel="0" collapsed="false">
      <c r="C31" s="64" t="s">
        <v>212</v>
      </c>
      <c r="D31" s="65" t="n">
        <v>1</v>
      </c>
    </row>
    <row r="32" customFormat="false" ht="15" hidden="false" customHeight="false" outlineLevel="0" collapsed="false">
      <c r="C32" s="67" t="s">
        <v>229</v>
      </c>
      <c r="D32" s="68" t="n">
        <v>0.9</v>
      </c>
    </row>
    <row r="33" customFormat="false" ht="15" hidden="false" customHeight="false" outlineLevel="0" collapsed="false">
      <c r="C33" s="67" t="s">
        <v>230</v>
      </c>
      <c r="D33" s="68" t="n">
        <v>0.8</v>
      </c>
    </row>
    <row r="34" customFormat="false" ht="15" hidden="false" customHeight="false" outlineLevel="0" collapsed="false">
      <c r="C34" s="67" t="s">
        <v>231</v>
      </c>
      <c r="D34" s="68" t="n">
        <v>0.7</v>
      </c>
    </row>
    <row r="35" customFormat="false" ht="15" hidden="false" customHeight="false" outlineLevel="0" collapsed="false">
      <c r="C35" s="67" t="s">
        <v>232</v>
      </c>
      <c r="D35" s="68" t="n">
        <v>0.5</v>
      </c>
    </row>
    <row r="36" customFormat="false" ht="15" hidden="false" customHeight="false" outlineLevel="0" collapsed="false">
      <c r="C36" s="69" t="s">
        <v>233</v>
      </c>
      <c r="D36" s="70" t="n">
        <v>0</v>
      </c>
    </row>
    <row r="40" customFormat="false" ht="18" hidden="false" customHeight="false" outlineLevel="0" collapsed="false">
      <c r="C40" s="7" t="s">
        <v>234</v>
      </c>
      <c r="D40" s="7"/>
    </row>
    <row r="41" customFormat="false" ht="18" hidden="false" customHeight="false" outlineLevel="0" collapsed="false">
      <c r="C41" s="11" t="s">
        <v>235</v>
      </c>
      <c r="D41" s="13" t="s">
        <v>236</v>
      </c>
    </row>
    <row r="42" customFormat="false" ht="15" hidden="false" customHeight="false" outlineLevel="0" collapsed="false">
      <c r="C42" s="64" t="s">
        <v>237</v>
      </c>
      <c r="D42" s="65" t="n">
        <v>0</v>
      </c>
    </row>
    <row r="43" customFormat="false" ht="15" hidden="false" customHeight="false" outlineLevel="0" collapsed="false">
      <c r="C43" s="67" t="s">
        <v>238</v>
      </c>
      <c r="D43" s="68" t="n">
        <v>0.7</v>
      </c>
    </row>
    <row r="44" customFormat="false" ht="15" hidden="false" customHeight="false" outlineLevel="0" collapsed="false">
      <c r="C44" s="67" t="s">
        <v>239</v>
      </c>
      <c r="D44" s="68" t="n">
        <v>0.8</v>
      </c>
    </row>
    <row r="45" customFormat="false" ht="15" hidden="false" customHeight="false" outlineLevel="0" collapsed="false">
      <c r="C45" s="67" t="s">
        <v>240</v>
      </c>
      <c r="D45" s="68" t="n">
        <v>0.9</v>
      </c>
    </row>
    <row r="46" customFormat="false" ht="15" hidden="false" customHeight="false" outlineLevel="0" collapsed="false">
      <c r="C46" s="67" t="s">
        <v>241</v>
      </c>
      <c r="D46" s="68" t="n">
        <v>0.95</v>
      </c>
    </row>
    <row r="47" customFormat="false" ht="15" hidden="false" customHeight="false" outlineLevel="0" collapsed="false">
      <c r="C47" s="69" t="s">
        <v>242</v>
      </c>
      <c r="D47" s="70" t="n">
        <v>1</v>
      </c>
    </row>
    <row r="51" customFormat="false" ht="18" hidden="false" customHeight="false" outlineLevel="0" collapsed="false">
      <c r="C51" s="71" t="s">
        <v>243</v>
      </c>
      <c r="D51" s="71"/>
    </row>
    <row r="52" customFormat="false" ht="18" hidden="false" customHeight="false" outlineLevel="0" collapsed="false">
      <c r="C52" s="11" t="s">
        <v>244</v>
      </c>
      <c r="D52" s="13" t="s">
        <v>245</v>
      </c>
    </row>
    <row r="53" customFormat="false" ht="15" hidden="false" customHeight="false" outlineLevel="0" collapsed="false">
      <c r="C53" s="64" t="s">
        <v>221</v>
      </c>
      <c r="D53" s="65" t="n">
        <v>0</v>
      </c>
    </row>
    <row r="54" customFormat="false" ht="15" hidden="false" customHeight="false" outlineLevel="0" collapsed="false">
      <c r="C54" s="67" t="s">
        <v>246</v>
      </c>
      <c r="D54" s="68" t="n">
        <v>0.7</v>
      </c>
    </row>
    <row r="55" customFormat="false" ht="15" hidden="false" customHeight="false" outlineLevel="0" collapsed="false">
      <c r="C55" s="67" t="s">
        <v>247</v>
      </c>
      <c r="D55" s="68" t="n">
        <v>0.8</v>
      </c>
    </row>
    <row r="56" customFormat="false" ht="15" hidden="false" customHeight="false" outlineLevel="0" collapsed="false">
      <c r="C56" s="67" t="s">
        <v>240</v>
      </c>
      <c r="D56" s="68" t="n">
        <v>0.9</v>
      </c>
    </row>
    <row r="57" customFormat="false" ht="15" hidden="false" customHeight="false" outlineLevel="0" collapsed="false">
      <c r="C57" s="67" t="s">
        <v>241</v>
      </c>
      <c r="D57" s="68" t="n">
        <v>0.95</v>
      </c>
    </row>
    <row r="58" customFormat="false" ht="15" hidden="false" customHeight="false" outlineLevel="0" collapsed="false">
      <c r="C58" s="67" t="s">
        <v>248</v>
      </c>
      <c r="D58" s="68" t="n">
        <v>1</v>
      </c>
    </row>
    <row r="59" customFormat="false" ht="15" hidden="false" customHeight="false" outlineLevel="0" collapsed="false">
      <c r="C59" s="69" t="s">
        <v>249</v>
      </c>
      <c r="D59" s="70" t="n">
        <v>0.95</v>
      </c>
    </row>
    <row r="63" customFormat="false" ht="18" hidden="false" customHeight="false" outlineLevel="0" collapsed="false">
      <c r="C63" s="7" t="s">
        <v>250</v>
      </c>
      <c r="D63" s="7"/>
    </row>
    <row r="64" customFormat="false" ht="18" hidden="false" customHeight="false" outlineLevel="0" collapsed="false">
      <c r="C64" s="11" t="s">
        <v>251</v>
      </c>
      <c r="D64" s="13" t="s">
        <v>252</v>
      </c>
    </row>
    <row r="65" customFormat="false" ht="15" hidden="false" customHeight="false" outlineLevel="0" collapsed="false">
      <c r="C65" s="64" t="s">
        <v>221</v>
      </c>
      <c r="D65" s="65" t="n">
        <v>0</v>
      </c>
    </row>
    <row r="66" customFormat="false" ht="15" hidden="false" customHeight="false" outlineLevel="0" collapsed="false">
      <c r="C66" s="67" t="s">
        <v>246</v>
      </c>
      <c r="D66" s="68" t="n">
        <v>0.7</v>
      </c>
    </row>
    <row r="67" customFormat="false" ht="15" hidden="false" customHeight="false" outlineLevel="0" collapsed="false">
      <c r="C67" s="67" t="s">
        <v>247</v>
      </c>
      <c r="D67" s="68" t="n">
        <v>0.8</v>
      </c>
    </row>
    <row r="68" customFormat="false" ht="15" hidden="false" customHeight="false" outlineLevel="0" collapsed="false">
      <c r="C68" s="67" t="s">
        <v>253</v>
      </c>
      <c r="D68" s="68" t="n">
        <v>0.9</v>
      </c>
    </row>
    <row r="69" customFormat="false" ht="15" hidden="false" customHeight="false" outlineLevel="0" collapsed="false">
      <c r="C69" s="67" t="s">
        <v>254</v>
      </c>
      <c r="D69" s="68" t="n">
        <v>0.95</v>
      </c>
    </row>
    <row r="70" customFormat="false" ht="15" hidden="false" customHeight="false" outlineLevel="0" collapsed="false">
      <c r="C70" s="67" t="s">
        <v>255</v>
      </c>
      <c r="D70" s="68" t="n">
        <v>1</v>
      </c>
    </row>
    <row r="71" customFormat="false" ht="15" hidden="false" customHeight="false" outlineLevel="0" collapsed="false">
      <c r="C71" s="69" t="s">
        <v>256</v>
      </c>
      <c r="D71" s="70" t="n">
        <v>0.95</v>
      </c>
    </row>
    <row r="75" customFormat="false" ht="18" hidden="false" customHeight="false" outlineLevel="0" collapsed="false">
      <c r="C75" s="7" t="s">
        <v>257</v>
      </c>
      <c r="D75" s="7"/>
    </row>
    <row r="76" customFormat="false" ht="18" hidden="false" customHeight="false" outlineLevel="0" collapsed="false">
      <c r="C76" s="11" t="s">
        <v>258</v>
      </c>
      <c r="D76" s="13" t="s">
        <v>259</v>
      </c>
    </row>
    <row r="77" customFormat="false" ht="15" hidden="false" customHeight="false" outlineLevel="0" collapsed="false">
      <c r="C77" s="64" t="s">
        <v>237</v>
      </c>
      <c r="D77" s="65" t="n">
        <v>0</v>
      </c>
    </row>
    <row r="78" customFormat="false" ht="15" hidden="false" customHeight="false" outlineLevel="0" collapsed="false">
      <c r="C78" s="67" t="s">
        <v>260</v>
      </c>
      <c r="D78" s="68" t="n">
        <v>0.5</v>
      </c>
    </row>
    <row r="79" customFormat="false" ht="15" hidden="false" customHeight="false" outlineLevel="0" collapsed="false">
      <c r="C79" s="67" t="s">
        <v>261</v>
      </c>
      <c r="D79" s="68" t="n">
        <v>0.8</v>
      </c>
    </row>
    <row r="80" customFormat="false" ht="15" hidden="false" customHeight="false" outlineLevel="0" collapsed="false">
      <c r="C80" s="67" t="s">
        <v>246</v>
      </c>
      <c r="D80" s="68" t="n">
        <v>0.9</v>
      </c>
    </row>
    <row r="81" customFormat="false" ht="15" hidden="false" customHeight="false" outlineLevel="0" collapsed="false">
      <c r="C81" s="67" t="s">
        <v>262</v>
      </c>
      <c r="D81" s="68" t="n">
        <v>1</v>
      </c>
    </row>
    <row r="82" customFormat="false" ht="15" hidden="false" customHeight="false" outlineLevel="0" collapsed="false">
      <c r="C82" s="69" t="s">
        <v>263</v>
      </c>
      <c r="D82" s="70" t="n">
        <v>0.9</v>
      </c>
    </row>
    <row r="86" customFormat="false" ht="18" hidden="false" customHeight="false" outlineLevel="0" collapsed="false">
      <c r="C86" s="7" t="s">
        <v>264</v>
      </c>
      <c r="D86" s="7"/>
    </row>
    <row r="87" customFormat="false" ht="18" hidden="false" customHeight="false" outlineLevel="0" collapsed="false">
      <c r="C87" s="11" t="s">
        <v>265</v>
      </c>
      <c r="D87" s="13" t="s">
        <v>266</v>
      </c>
    </row>
    <row r="88" customFormat="false" ht="15" hidden="false" customHeight="false" outlineLevel="0" collapsed="false">
      <c r="C88" s="64" t="s">
        <v>267</v>
      </c>
      <c r="D88" s="65" t="n">
        <v>1</v>
      </c>
    </row>
    <row r="89" customFormat="false" ht="15" hidden="false" customHeight="false" outlineLevel="0" collapsed="false">
      <c r="C89" s="67" t="s">
        <v>239</v>
      </c>
      <c r="D89" s="68" t="n">
        <v>0.95</v>
      </c>
    </row>
    <row r="90" customFormat="false" ht="15" hidden="false" customHeight="false" outlineLevel="0" collapsed="false">
      <c r="C90" s="67" t="s">
        <v>240</v>
      </c>
      <c r="D90" s="68" t="n">
        <v>0.9</v>
      </c>
    </row>
    <row r="91" customFormat="false" ht="15" hidden="false" customHeight="false" outlineLevel="0" collapsed="false">
      <c r="C91" s="67" t="s">
        <v>241</v>
      </c>
      <c r="D91" s="68" t="n">
        <v>0.85</v>
      </c>
    </row>
    <row r="92" customFormat="false" ht="15" hidden="false" customHeight="false" outlineLevel="0" collapsed="false">
      <c r="C92" s="67" t="s">
        <v>254</v>
      </c>
      <c r="D92" s="68" t="n">
        <v>0.8</v>
      </c>
    </row>
    <row r="93" customFormat="false" ht="15" hidden="false" customHeight="false" outlineLevel="0" collapsed="false">
      <c r="C93" s="69" t="s">
        <v>268</v>
      </c>
      <c r="D93" s="70" t="n">
        <v>0.75</v>
      </c>
    </row>
    <row r="97" customFormat="false" ht="18" hidden="false" customHeight="false" outlineLevel="0" collapsed="false">
      <c r="C97" s="71" t="s">
        <v>269</v>
      </c>
      <c r="D97" s="71"/>
    </row>
    <row r="98" customFormat="false" ht="18" hidden="false" customHeight="false" outlineLevel="0" collapsed="false">
      <c r="C98" s="11" t="s">
        <v>270</v>
      </c>
      <c r="D98" s="13" t="s">
        <v>271</v>
      </c>
    </row>
    <row r="99" customFormat="false" ht="15" hidden="false" customHeight="false" outlineLevel="0" collapsed="false">
      <c r="C99" s="64" t="s">
        <v>221</v>
      </c>
      <c r="D99" s="65" t="n">
        <v>0.8</v>
      </c>
    </row>
    <row r="100" customFormat="false" ht="15" hidden="false" customHeight="false" outlineLevel="0" collapsed="false">
      <c r="C100" s="67" t="s">
        <v>246</v>
      </c>
      <c r="D100" s="68" t="n">
        <v>0.9</v>
      </c>
    </row>
    <row r="101" customFormat="false" ht="15" hidden="false" customHeight="false" outlineLevel="0" collapsed="false">
      <c r="C101" s="67" t="s">
        <v>272</v>
      </c>
      <c r="D101" s="68" t="n">
        <v>0.95</v>
      </c>
    </row>
    <row r="102" customFormat="false" ht="15" hidden="false" customHeight="false" outlineLevel="0" collapsed="false">
      <c r="C102" s="67" t="s">
        <v>273</v>
      </c>
      <c r="D102" s="68" t="n">
        <v>1</v>
      </c>
    </row>
    <row r="103" customFormat="false" ht="15" hidden="false" customHeight="false" outlineLevel="0" collapsed="false">
      <c r="C103" s="67" t="s">
        <v>274</v>
      </c>
      <c r="D103" s="68" t="n">
        <v>0.95</v>
      </c>
    </row>
    <row r="104" customFormat="false" ht="15" hidden="false" customHeight="false" outlineLevel="0" collapsed="false">
      <c r="C104" s="67" t="s">
        <v>275</v>
      </c>
      <c r="D104" s="68" t="n">
        <v>0.9</v>
      </c>
    </row>
    <row r="105" customFormat="false" ht="15" hidden="false" customHeight="false" outlineLevel="0" collapsed="false">
      <c r="C105" s="69" t="s">
        <v>276</v>
      </c>
      <c r="D105" s="70" t="n">
        <v>0.85</v>
      </c>
    </row>
    <row r="109" customFormat="false" ht="18" hidden="false" customHeight="false" outlineLevel="0" collapsed="false">
      <c r="C109" s="7" t="s">
        <v>277</v>
      </c>
      <c r="D109" s="7"/>
    </row>
    <row r="110" customFormat="false" ht="18" hidden="false" customHeight="false" outlineLevel="0" collapsed="false">
      <c r="C110" s="11" t="s">
        <v>278</v>
      </c>
      <c r="D110" s="13" t="s">
        <v>279</v>
      </c>
    </row>
    <row r="111" customFormat="false" ht="15" hidden="false" customHeight="false" outlineLevel="0" collapsed="false">
      <c r="C111" s="64" t="s">
        <v>221</v>
      </c>
      <c r="D111" s="65" t="n">
        <v>1</v>
      </c>
    </row>
    <row r="112" customFormat="false" ht="15" hidden="false" customHeight="false" outlineLevel="0" collapsed="false">
      <c r="C112" s="67" t="s">
        <v>246</v>
      </c>
      <c r="D112" s="68" t="n">
        <v>0.95</v>
      </c>
    </row>
    <row r="113" customFormat="false" ht="15" hidden="false" customHeight="false" outlineLevel="0" collapsed="false">
      <c r="C113" s="67" t="s">
        <v>247</v>
      </c>
      <c r="D113" s="68" t="n">
        <v>0.9</v>
      </c>
    </row>
    <row r="114" customFormat="false" ht="15" hidden="false" customHeight="false" outlineLevel="0" collapsed="false">
      <c r="C114" s="67" t="s">
        <v>280</v>
      </c>
      <c r="D114" s="68" t="n">
        <v>0.85</v>
      </c>
    </row>
    <row r="115" customFormat="false" ht="15" hidden="false" customHeight="false" outlineLevel="0" collapsed="false">
      <c r="C115" s="67" t="s">
        <v>281</v>
      </c>
      <c r="D115" s="68" t="n">
        <v>0.8</v>
      </c>
    </row>
    <row r="116" customFormat="false" ht="15" hidden="false" customHeight="false" outlineLevel="0" collapsed="false">
      <c r="C116" s="69" t="s">
        <v>268</v>
      </c>
      <c r="D116" s="70" t="n">
        <v>0</v>
      </c>
    </row>
  </sheetData>
  <mergeCells count="11">
    <mergeCell ref="C5:D5"/>
    <mergeCell ref="C8:D8"/>
    <mergeCell ref="C19:D19"/>
    <mergeCell ref="C29:D29"/>
    <mergeCell ref="C40:D40"/>
    <mergeCell ref="C51:D51"/>
    <mergeCell ref="C63:D63"/>
    <mergeCell ref="C75:D75"/>
    <mergeCell ref="C86:D86"/>
    <mergeCell ref="C97:D97"/>
    <mergeCell ref="C109:D109"/>
  </mergeCells>
  <hyperlinks>
    <hyperlink ref="F1" location="'Rating Algorithm'!A26" display="Rating Algorithm'!A26"/>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4375" defaultRowHeight="15" zeroHeight="false" outlineLevelRow="0" outlineLevelCol="0"/>
  <cols>
    <col min="2" max="2" customWidth="true" hidden="false" style="0" width="14.11" collapsed="false" outlineLevel="0"/>
    <col min="3" max="3" customWidth="true" hidden="false" style="0" width="23.11" collapsed="false" outlineLevel="0"/>
    <col min="4" max="4" customWidth="true" hidden="false" style="0" width="27.11" collapsed="false" outlineLevel="0"/>
    <col min="5" max="5" customWidth="true" hidden="false" style="0" width="24.56" collapsed="false" outlineLevel="0"/>
  </cols>
  <sheetData>
    <row r="3" customFormat="false" ht="20.25" hidden="false" customHeight="false" outlineLevel="0" collapsed="false">
      <c r="B3" s="4" t="s">
        <v>282</v>
      </c>
      <c r="C3" s="4"/>
    </row>
    <row r="6" customFormat="false" ht="15" hidden="false" customHeight="true" outlineLevel="0" collapsed="false">
      <c r="C6" s="72" t="s">
        <v>283</v>
      </c>
      <c r="D6" s="72"/>
    </row>
    <row r="7" customFormat="false" ht="15" hidden="false" customHeight="false" outlineLevel="0" collapsed="false">
      <c r="C7" s="73" t="s">
        <v>284</v>
      </c>
      <c r="D7" s="74" t="s">
        <v>198</v>
      </c>
    </row>
    <row r="8" customFormat="false" ht="15" hidden="false" customHeight="false" outlineLevel="0" collapsed="false">
      <c r="C8" s="75" t="s">
        <v>210</v>
      </c>
      <c r="D8" s="76" t="s">
        <v>211</v>
      </c>
    </row>
    <row r="9" customFormat="false" ht="15" hidden="false" customHeight="false" outlineLevel="0" collapsed="false">
      <c r="C9" s="77" t="n">
        <v>1</v>
      </c>
      <c r="D9" s="78" t="n">
        <v>0</v>
      </c>
    </row>
    <row r="10" customFormat="false" ht="15" hidden="false" customHeight="false" outlineLevel="0" collapsed="false">
      <c r="C10" s="77" t="n">
        <v>9</v>
      </c>
      <c r="D10" s="79" t="s">
        <v>285</v>
      </c>
    </row>
    <row r="11" customFormat="false" ht="15" hidden="false" customHeight="false" outlineLevel="0" collapsed="false">
      <c r="C11" s="77" t="n">
        <v>12</v>
      </c>
      <c r="D11" s="79" t="s">
        <v>286</v>
      </c>
    </row>
    <row r="12" customFormat="false" ht="15" hidden="false" customHeight="false" outlineLevel="0" collapsed="false">
      <c r="C12" s="80" t="s">
        <v>287</v>
      </c>
      <c r="D12" s="81" t="n">
        <v>1</v>
      </c>
    </row>
  </sheetData>
  <mergeCells count="1">
    <mergeCell ref="C6:D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3D69B"/>
    <pageSetUpPr fitToPage="false"/>
  </sheetPr>
  <dimension ref="A3:J42"/>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37" activeCellId="0" sqref="C37"/>
    </sheetView>
  </sheetViews>
  <sheetFormatPr defaultColWidth="8.734375" defaultRowHeight="15" zeroHeight="false" outlineLevelRow="0" outlineLevelCol="0"/>
  <cols>
    <col min="3" max="3" customWidth="true" hidden="false" style="0" width="29.99" collapsed="false" outlineLevel="0"/>
    <col min="4" max="4" customWidth="true" hidden="false" style="0" width="31.66" collapsed="false" outlineLevel="0"/>
    <col min="5" max="5" customWidth="true" hidden="false" style="0" width="26.33" collapsed="false" outlineLevel="0"/>
  </cols>
  <sheetData>
    <row r="3" customFormat="false" ht="20.25" hidden="false" customHeight="false" outlineLevel="0" collapsed="false">
      <c r="B3" s="4" t="s">
        <v>288</v>
      </c>
      <c r="C3" s="4"/>
    </row>
    <row r="4" customFormat="false" ht="15" hidden="false" customHeight="false" outlineLevel="0" collapsed="false">
      <c r="A4" s="14"/>
      <c r="F4" s="82"/>
      <c r="G4" s="18" t="s">
        <v>289</v>
      </c>
    </row>
    <row r="5" customFormat="false" ht="54" hidden="false" customHeight="true" outlineLevel="0" collapsed="false">
      <c r="A5" s="14"/>
      <c r="B5" s="63"/>
      <c r="C5" s="62" t="s">
        <v>290</v>
      </c>
      <c r="D5" s="62"/>
      <c r="E5" s="62"/>
      <c r="G5" s="14"/>
    </row>
    <row r="6" customFormat="false" ht="13.5" hidden="false" customHeight="true" outlineLevel="0" collapsed="false">
      <c r="A6" s="14"/>
      <c r="B6" s="63"/>
      <c r="C6" s="63"/>
      <c r="D6" s="63"/>
      <c r="G6" s="14"/>
    </row>
    <row r="8" customFormat="false" ht="18" hidden="false" customHeight="false" outlineLevel="0" collapsed="false">
      <c r="C8" s="83" t="s">
        <v>291</v>
      </c>
      <c r="D8" s="83"/>
    </row>
    <row r="9" customFormat="false" ht="18" hidden="false" customHeight="false" outlineLevel="0" collapsed="false">
      <c r="C9" s="11" t="s">
        <v>292</v>
      </c>
      <c r="D9" s="13" t="s">
        <v>293</v>
      </c>
    </row>
    <row r="10" customFormat="false" ht="15" hidden="false" customHeight="false" outlineLevel="0" collapsed="false">
      <c r="C10" s="64" t="s">
        <v>294</v>
      </c>
      <c r="D10" s="65" t="n">
        <v>0.6</v>
      </c>
    </row>
    <row r="11" customFormat="false" ht="15" hidden="false" customHeight="false" outlineLevel="0" collapsed="false">
      <c r="C11" s="67" t="s">
        <v>295</v>
      </c>
      <c r="D11" s="68" t="n">
        <v>0.8</v>
      </c>
    </row>
    <row r="12" customFormat="false" ht="15" hidden="false" customHeight="false" outlineLevel="0" collapsed="false">
      <c r="C12" s="67" t="s">
        <v>296</v>
      </c>
      <c r="D12" s="68" t="n">
        <v>0.9</v>
      </c>
    </row>
    <row r="13" customFormat="false" ht="15" hidden="false" customHeight="false" outlineLevel="0" collapsed="false">
      <c r="C13" s="69" t="s">
        <v>297</v>
      </c>
      <c r="D13" s="70" t="n">
        <v>1</v>
      </c>
    </row>
    <row r="17" customFormat="false" ht="18" hidden="false" customHeight="false" outlineLevel="0" collapsed="false">
      <c r="C17" s="71" t="s">
        <v>298</v>
      </c>
      <c r="D17" s="71"/>
    </row>
    <row r="18" customFormat="false" ht="18" hidden="false" customHeight="false" outlineLevel="0" collapsed="false">
      <c r="C18" s="11" t="s">
        <v>299</v>
      </c>
      <c r="D18" s="13" t="s">
        <v>300</v>
      </c>
      <c r="I18" s="82"/>
      <c r="J18" s="82"/>
    </row>
    <row r="19" customFormat="false" ht="15" hidden="false" customHeight="false" outlineLevel="0" collapsed="false">
      <c r="C19" s="64" t="s">
        <v>301</v>
      </c>
      <c r="D19" s="84" t="n">
        <v>0.7</v>
      </c>
    </row>
    <row r="20" customFormat="false" ht="15" hidden="false" customHeight="false" outlineLevel="0" collapsed="false">
      <c r="C20" s="67" t="s">
        <v>295</v>
      </c>
      <c r="D20" s="68" t="n">
        <v>0.8</v>
      </c>
    </row>
    <row r="21" customFormat="false" ht="15" hidden="false" customHeight="false" outlineLevel="0" collapsed="false">
      <c r="C21" s="67" t="s">
        <v>296</v>
      </c>
      <c r="D21" s="68" t="n">
        <v>0.9</v>
      </c>
    </row>
    <row r="22" customFormat="false" ht="15" hidden="false" customHeight="false" outlineLevel="0" collapsed="false">
      <c r="C22" s="69" t="s">
        <v>297</v>
      </c>
      <c r="D22" s="70" t="n">
        <v>1</v>
      </c>
    </row>
    <row r="26" customFormat="false" ht="18" hidden="false" customHeight="false" outlineLevel="0" collapsed="false">
      <c r="C26" s="7" t="s">
        <v>302</v>
      </c>
      <c r="D26" s="7"/>
      <c r="E26" s="7"/>
    </row>
    <row r="27" customFormat="false" ht="18" hidden="false" customHeight="false" outlineLevel="0" collapsed="false">
      <c r="C27" s="85" t="s">
        <v>303</v>
      </c>
      <c r="D27" s="86" t="s">
        <v>304</v>
      </c>
      <c r="E27" s="87" t="s">
        <v>305</v>
      </c>
    </row>
    <row r="28" customFormat="false" ht="15" hidden="false" customHeight="false" outlineLevel="0" collapsed="false">
      <c r="C28" s="64" t="s">
        <v>306</v>
      </c>
      <c r="D28" s="88" t="s">
        <v>307</v>
      </c>
      <c r="E28" s="65" t="n">
        <v>1</v>
      </c>
    </row>
    <row r="29" customFormat="false" ht="15" hidden="false" customHeight="false" outlineLevel="0" collapsed="false">
      <c r="C29" s="67" t="s">
        <v>294</v>
      </c>
      <c r="D29" s="88"/>
      <c r="E29" s="68" t="n">
        <v>0.8</v>
      </c>
    </row>
    <row r="30" customFormat="false" ht="15" hidden="false" customHeight="false" outlineLevel="0" collapsed="false">
      <c r="C30" s="67" t="s">
        <v>295</v>
      </c>
      <c r="D30" s="88"/>
      <c r="E30" s="68" t="n">
        <v>0.9</v>
      </c>
    </row>
    <row r="31" customFormat="false" ht="15" hidden="false" customHeight="false" outlineLevel="0" collapsed="false">
      <c r="C31" s="67" t="s">
        <v>296</v>
      </c>
      <c r="D31" s="88"/>
      <c r="E31" s="68" t="n">
        <v>1</v>
      </c>
    </row>
    <row r="32" customFormat="false" ht="15" hidden="false" customHeight="false" outlineLevel="0" collapsed="false">
      <c r="C32" s="67" t="s">
        <v>297</v>
      </c>
      <c r="D32" s="88"/>
      <c r="E32" s="68" t="n">
        <v>1</v>
      </c>
    </row>
    <row r="33" customFormat="false" ht="15" hidden="false" customHeight="false" outlineLevel="0" collapsed="false">
      <c r="C33" s="69"/>
      <c r="D33" s="89" t="s">
        <v>308</v>
      </c>
      <c r="E33" s="70" t="n">
        <v>0.3</v>
      </c>
    </row>
    <row r="37" customFormat="false" ht="18" hidden="false" customHeight="false" outlineLevel="0" collapsed="false">
      <c r="C37" s="90" t="s">
        <v>309</v>
      </c>
      <c r="D37" s="90"/>
    </row>
    <row r="38" customFormat="false" ht="18" hidden="false" customHeight="false" outlineLevel="0" collapsed="false">
      <c r="C38" s="11" t="s">
        <v>310</v>
      </c>
      <c r="D38" s="13" t="s">
        <v>311</v>
      </c>
    </row>
    <row r="39" customFormat="false" ht="15" hidden="false" customHeight="false" outlineLevel="0" collapsed="false">
      <c r="C39" s="64" t="s">
        <v>301</v>
      </c>
      <c r="D39" s="65" t="n">
        <v>0.6</v>
      </c>
    </row>
    <row r="40" customFormat="false" ht="15" hidden="false" customHeight="false" outlineLevel="0" collapsed="false">
      <c r="C40" s="67" t="s">
        <v>295</v>
      </c>
      <c r="D40" s="68" t="n">
        <v>0.8</v>
      </c>
    </row>
    <row r="41" customFormat="false" ht="15" hidden="false" customHeight="false" outlineLevel="0" collapsed="false">
      <c r="C41" s="67" t="s">
        <v>296</v>
      </c>
      <c r="D41" s="68" t="n">
        <v>0.9</v>
      </c>
    </row>
    <row r="42" customFormat="false" ht="15" hidden="false" customHeight="false" outlineLevel="0" collapsed="false">
      <c r="C42" s="69" t="s">
        <v>297</v>
      </c>
      <c r="D42" s="70" t="n">
        <v>1</v>
      </c>
    </row>
  </sheetData>
  <mergeCells count="6">
    <mergeCell ref="C5:E5"/>
    <mergeCell ref="C8:D8"/>
    <mergeCell ref="C17:D17"/>
    <mergeCell ref="C26:E26"/>
    <mergeCell ref="D28:D32"/>
    <mergeCell ref="C37:D37"/>
  </mergeCells>
  <hyperlinks>
    <hyperlink ref="G4" location="'Rating Algorithm'!A54" display="Rating Algorithm'!A54"/>
  </hyperlinks>
  <printOptions headings="false" gridLines="false" gridLinesSet="true" horizontalCentered="false" verticalCentered="false"/>
  <pageMargins left="0.7" right="0.7" top="0.75" bottom="0.75" header="0.511811023622047" footer="0.511811023622047"/>
  <pageSetup paperSize="9" scale="92"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5" man="true" max="65535" min="0"/>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4375" defaultRowHeight="15" zeroHeight="false" outlineLevelRow="0" outlineLevelCol="0"/>
  <cols>
    <col min="3" max="3" customWidth="true" hidden="false" style="0" width="14.88" collapsed="false" outlineLevel="0"/>
    <col min="4" max="4" customWidth="true" hidden="false" style="0" width="23.11" collapsed="false" outlineLevel="0"/>
    <col min="5" max="5" customWidth="true" hidden="false" style="0" width="22.0" collapsed="false" outlineLevel="0"/>
  </cols>
  <sheetData>
    <row r="3" customFormat="false" ht="20.25" hidden="false" customHeight="false" outlineLevel="0" collapsed="false">
      <c r="B3" s="4" t="s">
        <v>312</v>
      </c>
      <c r="C3" s="4"/>
      <c r="D3" s="4"/>
    </row>
    <row r="6" customFormat="false" ht="18.75" hidden="false" customHeight="true" outlineLevel="0" collapsed="false">
      <c r="C6" s="42" t="s">
        <v>313</v>
      </c>
      <c r="D6" s="42"/>
      <c r="E6" s="42"/>
    </row>
    <row r="7" customFormat="false" ht="15" hidden="false" customHeight="false" outlineLevel="0" collapsed="false">
      <c r="C7" s="43" t="s">
        <v>314</v>
      </c>
      <c r="D7" s="44" t="s">
        <v>315</v>
      </c>
      <c r="E7" s="45" t="s">
        <v>198</v>
      </c>
    </row>
    <row r="8" customFormat="false" ht="19.5" hidden="false" customHeight="true" outlineLevel="0" collapsed="false">
      <c r="C8" s="49" t="s">
        <v>304</v>
      </c>
      <c r="D8" s="58" t="s">
        <v>303</v>
      </c>
      <c r="E8" s="51" t="s">
        <v>305</v>
      </c>
    </row>
    <row r="9" customFormat="false" ht="19.5" hidden="false" customHeight="true" outlineLevel="0" collapsed="false">
      <c r="C9" s="91" t="n">
        <v>1500</v>
      </c>
      <c r="D9" s="92" t="n">
        <v>-5000</v>
      </c>
      <c r="E9" s="79" t="n">
        <v>1</v>
      </c>
    </row>
    <row r="10" customFormat="false" ht="19.5" hidden="false" customHeight="true" outlineLevel="0" collapsed="false">
      <c r="C10" s="91" t="n">
        <v>-5000</v>
      </c>
      <c r="D10" s="92" t="n">
        <v>2000</v>
      </c>
      <c r="E10" s="79" t="s">
        <v>316</v>
      </c>
    </row>
    <row r="11" customFormat="false" ht="19.5" hidden="false" customHeight="true" outlineLevel="0" collapsed="false">
      <c r="C11" s="91" t="n">
        <v>0</v>
      </c>
      <c r="D11" s="92" t="n">
        <v>0</v>
      </c>
      <c r="E11" s="79" t="s">
        <v>285</v>
      </c>
    </row>
    <row r="12" customFormat="false" ht="15" hidden="false" customHeight="false" outlineLevel="0" collapsed="false">
      <c r="C12" s="52" t="n">
        <v>10</v>
      </c>
      <c r="D12" s="59" t="n">
        <v>90</v>
      </c>
      <c r="E12" s="93" t="s">
        <v>317</v>
      </c>
    </row>
  </sheetData>
  <mergeCells count="1">
    <mergeCell ref="C6:E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3D69B"/>
    <pageSetUpPr fitToPage="false"/>
  </sheetPr>
  <dimension ref="A1:K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8.734375" defaultRowHeight="15" zeroHeight="false" outlineLevelRow="0" outlineLevelCol="0"/>
  <cols>
    <col min="3" max="4" customWidth="true" hidden="false" style="0" width="31.33" collapsed="false" outlineLevel="0"/>
    <col min="5" max="5" customWidth="true" hidden="false" style="0" width="22.11" collapsed="false" outlineLevel="0"/>
  </cols>
  <sheetData>
    <row r="1" customFormat="false" ht="15" hidden="false" customHeight="false" outlineLevel="0" collapsed="false">
      <c r="A1" s="14"/>
      <c r="G1" s="18" t="s">
        <v>318</v>
      </c>
    </row>
    <row r="2" customFormat="false" ht="15" hidden="false" customHeight="false" outlineLevel="0" collapsed="false">
      <c r="A2" s="14"/>
      <c r="G2" s="14"/>
    </row>
    <row r="3" customFormat="false" ht="20.25" hidden="false" customHeight="false" outlineLevel="0" collapsed="false">
      <c r="A3" s="14"/>
      <c r="B3" s="4" t="s">
        <v>319</v>
      </c>
      <c r="C3" s="4"/>
      <c r="G3" s="14"/>
    </row>
    <row r="4" customFormat="false" ht="15" hidden="false" customHeight="false" outlineLevel="0" collapsed="false">
      <c r="A4" s="14"/>
      <c r="C4" s="94"/>
      <c r="G4" s="14"/>
    </row>
    <row r="5" customFormat="false" ht="55.5" hidden="false" customHeight="true" outlineLevel="0" collapsed="false">
      <c r="A5" s="14"/>
      <c r="B5" s="63"/>
      <c r="C5" s="62" t="s">
        <v>320</v>
      </c>
      <c r="D5" s="62"/>
      <c r="E5" s="62"/>
      <c r="G5" s="14"/>
    </row>
    <row r="6" customFormat="false" ht="15" hidden="false" customHeight="false" outlineLevel="0" collapsed="false">
      <c r="A6" s="14"/>
      <c r="B6" s="63"/>
      <c r="C6" s="63"/>
      <c r="D6" s="63"/>
      <c r="G6" s="14"/>
    </row>
    <row r="8" customFormat="false" ht="18" hidden="false" customHeight="false" outlineLevel="0" collapsed="false">
      <c r="C8" s="71" t="s">
        <v>321</v>
      </c>
      <c r="D8" s="71"/>
    </row>
    <row r="9" customFormat="false" ht="18" hidden="false" customHeight="false" outlineLevel="0" collapsed="false">
      <c r="C9" s="11" t="s">
        <v>322</v>
      </c>
      <c r="D9" s="13" t="s">
        <v>323</v>
      </c>
    </row>
    <row r="10" customFormat="false" ht="15" hidden="false" customHeight="false" outlineLevel="0" collapsed="false">
      <c r="C10" s="64" t="s">
        <v>324</v>
      </c>
      <c r="D10" s="65" t="n">
        <v>0.4</v>
      </c>
    </row>
    <row r="11" customFormat="false" ht="15" hidden="false" customHeight="false" outlineLevel="0" collapsed="false">
      <c r="C11" s="69" t="s">
        <v>325</v>
      </c>
      <c r="D11" s="70" t="n">
        <v>1</v>
      </c>
    </row>
    <row r="15" customFormat="false" ht="18" hidden="false" customHeight="false" outlineLevel="0" collapsed="false">
      <c r="C15" s="71" t="s">
        <v>326</v>
      </c>
      <c r="D15" s="71"/>
    </row>
    <row r="16" customFormat="false" ht="18" hidden="false" customHeight="false" outlineLevel="0" collapsed="false">
      <c r="C16" s="11" t="s">
        <v>327</v>
      </c>
      <c r="D16" s="13" t="s">
        <v>328</v>
      </c>
    </row>
    <row r="17" customFormat="false" ht="15" hidden="false" customHeight="false" outlineLevel="0" collapsed="false">
      <c r="C17" s="64" t="s">
        <v>324</v>
      </c>
      <c r="D17" s="65" t="n">
        <v>0.7</v>
      </c>
      <c r="K17" s="95"/>
    </row>
    <row r="18" customFormat="false" ht="15" hidden="false" customHeight="false" outlineLevel="0" collapsed="false">
      <c r="C18" s="69" t="s">
        <v>325</v>
      </c>
      <c r="D18" s="70" t="n">
        <v>1</v>
      </c>
      <c r="K18" s="95"/>
    </row>
    <row r="19" customFormat="false" ht="15" hidden="false" customHeight="false" outlineLevel="0" collapsed="false">
      <c r="K19" s="95"/>
    </row>
    <row r="20" customFormat="false" ht="15" hidden="false" customHeight="false" outlineLevel="0" collapsed="false">
      <c r="K20" s="95"/>
    </row>
    <row r="21" customFormat="false" ht="15" hidden="false" customHeight="false" outlineLevel="0" collapsed="false">
      <c r="K21" s="95"/>
    </row>
    <row r="22" customFormat="false" ht="18" hidden="false" customHeight="false" outlineLevel="0" collapsed="false">
      <c r="C22" s="71" t="s">
        <v>329</v>
      </c>
      <c r="D22" s="71"/>
      <c r="K22" s="95"/>
    </row>
    <row r="23" customFormat="false" ht="18" hidden="false" customHeight="false" outlineLevel="0" collapsed="false">
      <c r="C23" s="11" t="s">
        <v>330</v>
      </c>
      <c r="D23" s="13" t="s">
        <v>331</v>
      </c>
    </row>
    <row r="24" customFormat="false" ht="15" hidden="false" customHeight="false" outlineLevel="0" collapsed="false">
      <c r="C24" s="64" t="s">
        <v>324</v>
      </c>
      <c r="D24" s="65" t="n">
        <v>0.5</v>
      </c>
    </row>
    <row r="25" customFormat="false" ht="15" hidden="false" customHeight="false" outlineLevel="0" collapsed="false">
      <c r="C25" s="69" t="s">
        <v>325</v>
      </c>
      <c r="D25" s="70" t="n">
        <v>1</v>
      </c>
    </row>
    <row r="29" customFormat="false" ht="18" hidden="false" customHeight="false" outlineLevel="0" collapsed="false">
      <c r="C29" s="71" t="s">
        <v>332</v>
      </c>
      <c r="D29" s="71"/>
    </row>
    <row r="30" customFormat="false" ht="18" hidden="false" customHeight="false" outlineLevel="0" collapsed="false">
      <c r="C30" s="11" t="s">
        <v>333</v>
      </c>
      <c r="D30" s="13" t="s">
        <v>334</v>
      </c>
    </row>
    <row r="31" customFormat="false" ht="15" hidden="false" customHeight="false" outlineLevel="0" collapsed="false">
      <c r="C31" s="64" t="s">
        <v>324</v>
      </c>
      <c r="D31" s="65" t="n">
        <v>0.6</v>
      </c>
    </row>
    <row r="32" customFormat="false" ht="15" hidden="false" customHeight="false" outlineLevel="0" collapsed="false">
      <c r="C32" s="69" t="s">
        <v>325</v>
      </c>
      <c r="D32" s="70" t="n">
        <v>1</v>
      </c>
    </row>
    <row r="36" customFormat="false" ht="18" hidden="false" customHeight="false" outlineLevel="0" collapsed="false">
      <c r="C36" s="71" t="s">
        <v>335</v>
      </c>
      <c r="D36" s="71"/>
    </row>
    <row r="37" customFormat="false" ht="18" hidden="false" customHeight="false" outlineLevel="0" collapsed="false">
      <c r="C37" s="11" t="s">
        <v>336</v>
      </c>
      <c r="D37" s="13" t="s">
        <v>337</v>
      </c>
    </row>
    <row r="38" customFormat="false" ht="15" hidden="false" customHeight="false" outlineLevel="0" collapsed="false">
      <c r="C38" s="64" t="s">
        <v>324</v>
      </c>
      <c r="D38" s="65" t="n">
        <v>0.9</v>
      </c>
    </row>
    <row r="39" customFormat="false" ht="15" hidden="false" customHeight="false" outlineLevel="0" collapsed="false">
      <c r="C39" s="69" t="s">
        <v>325</v>
      </c>
      <c r="D39" s="70" t="n">
        <v>1</v>
      </c>
    </row>
    <row r="43" customFormat="false" ht="18" hidden="false" customHeight="false" outlineLevel="0" collapsed="false">
      <c r="C43" s="96" t="s">
        <v>338</v>
      </c>
      <c r="D43" s="96"/>
      <c r="E43" s="96"/>
    </row>
    <row r="44" customFormat="false" ht="18" hidden="false" customHeight="false" outlineLevel="0" collapsed="false">
      <c r="C44" s="11" t="s">
        <v>339</v>
      </c>
      <c r="D44" s="97" t="s">
        <v>340</v>
      </c>
      <c r="E44" s="13" t="s">
        <v>341</v>
      </c>
    </row>
    <row r="45" customFormat="false" ht="15" hidden="false" customHeight="true" outlineLevel="0" collapsed="false">
      <c r="C45" s="64" t="s">
        <v>342</v>
      </c>
      <c r="D45" s="98" t="s">
        <v>343</v>
      </c>
      <c r="E45" s="65" t="n">
        <v>0</v>
      </c>
    </row>
    <row r="46" customFormat="false" ht="15" hidden="false" customHeight="false" outlineLevel="0" collapsed="false">
      <c r="C46" s="67" t="s">
        <v>344</v>
      </c>
      <c r="D46" s="98"/>
      <c r="E46" s="68" t="n">
        <v>0.9</v>
      </c>
    </row>
    <row r="47" customFormat="false" ht="15" hidden="false" customHeight="false" outlineLevel="0" collapsed="false">
      <c r="C47" s="67" t="s">
        <v>345</v>
      </c>
      <c r="D47" s="98"/>
      <c r="E47" s="68" t="n">
        <v>1</v>
      </c>
    </row>
    <row r="48" customFormat="false" ht="15" hidden="false" customHeight="false" outlineLevel="0" collapsed="false">
      <c r="C48" s="67" t="s">
        <v>346</v>
      </c>
      <c r="D48" s="99"/>
      <c r="E48" s="68" t="n">
        <v>0</v>
      </c>
    </row>
    <row r="49" customFormat="false" ht="15" hidden="false" customHeight="false" outlineLevel="0" collapsed="false">
      <c r="C49" s="69" t="s">
        <v>347</v>
      </c>
      <c r="D49" s="89"/>
      <c r="E49" s="70" t="n">
        <v>1</v>
      </c>
    </row>
    <row r="51" customFormat="false" ht="15" hidden="false" customHeight="false" outlineLevel="0" collapsed="false">
      <c r="C51" s="100"/>
      <c r="D51" s="100"/>
      <c r="E51" s="100"/>
    </row>
    <row r="52" customFormat="false" ht="15" hidden="false" customHeight="false" outlineLevel="0" collapsed="false">
      <c r="C52" s="95"/>
      <c r="D52" s="95"/>
      <c r="E52" s="95"/>
    </row>
    <row r="53" customFormat="false" ht="15" hidden="false" customHeight="false" outlineLevel="0" collapsed="false">
      <c r="C53" s="101"/>
      <c r="D53" s="101"/>
      <c r="E53" s="95"/>
    </row>
    <row r="54" customFormat="false" ht="15" hidden="false" customHeight="false" outlineLevel="0" collapsed="false">
      <c r="C54" s="95"/>
      <c r="I54" s="102"/>
    </row>
    <row r="55" customFormat="false" ht="15" hidden="false" customHeight="false" outlineLevel="0" collapsed="false">
      <c r="C55" s="95"/>
    </row>
    <row r="56" customFormat="false" ht="15" hidden="false" customHeight="false" outlineLevel="0" collapsed="false">
      <c r="C56" s="95"/>
    </row>
    <row r="57" customFormat="false" ht="15" hidden="false" customHeight="false" outlineLevel="0" collapsed="false">
      <c r="C57" s="95"/>
    </row>
    <row r="58" customFormat="false" ht="15" hidden="false" customHeight="false" outlineLevel="0" collapsed="false">
      <c r="C58" s="95"/>
    </row>
  </sheetData>
  <mergeCells count="9">
    <mergeCell ref="C5:E5"/>
    <mergeCell ref="C8:D8"/>
    <mergeCell ref="C15:D15"/>
    <mergeCell ref="C22:D22"/>
    <mergeCell ref="C29:D29"/>
    <mergeCell ref="C36:D36"/>
    <mergeCell ref="C43:E43"/>
    <mergeCell ref="D45:D47"/>
    <mergeCell ref="C51:E51"/>
  </mergeCells>
  <hyperlinks>
    <hyperlink ref="G1" location="'Rating Algorithm'!A73" display="Rating Algorithm'!A7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26" activeCellId="0" sqref="P26"/>
    </sheetView>
  </sheetViews>
  <sheetFormatPr defaultColWidth="8.734375" defaultRowHeight="15" zeroHeight="false" outlineLevelRow="0" outlineLevelCol="0"/>
  <cols>
    <col min="3" max="3" customWidth="true" hidden="false" style="0" width="18.88" collapsed="false" outlineLevel="0"/>
    <col min="4" max="4" customWidth="true" hidden="false" style="0" width="22.33" collapsed="false" outlineLevel="0"/>
    <col min="5" max="5" customWidth="true" hidden="false" style="0" width="21.67" collapsed="false" outlineLevel="0"/>
  </cols>
  <sheetData>
    <row r="3" customFormat="false" ht="20.25" hidden="false" customHeight="false" outlineLevel="0" collapsed="false">
      <c r="B3" s="4" t="s">
        <v>348</v>
      </c>
      <c r="C3" s="4"/>
      <c r="D3" s="4"/>
    </row>
    <row r="6" customFormat="false" ht="15" hidden="false" customHeight="true" outlineLevel="0" collapsed="false">
      <c r="C6" s="72" t="s">
        <v>349</v>
      </c>
      <c r="D6" s="72"/>
      <c r="I6" s="95"/>
    </row>
    <row r="7" customFormat="false" ht="15" hidden="false" customHeight="false" outlineLevel="0" collapsed="false">
      <c r="C7" s="73" t="s">
        <v>350</v>
      </c>
      <c r="D7" s="74" t="s">
        <v>198</v>
      </c>
    </row>
    <row r="8" customFormat="false" ht="15" hidden="false" customHeight="false" outlineLevel="0" collapsed="false">
      <c r="C8" s="75" t="s">
        <v>322</v>
      </c>
      <c r="D8" s="76" t="s">
        <v>323</v>
      </c>
    </row>
    <row r="9" customFormat="false" ht="15" hidden="false" customHeight="false" outlineLevel="0" collapsed="false">
      <c r="C9" s="77" t="s">
        <v>324</v>
      </c>
      <c r="D9" s="103" t="s">
        <v>351</v>
      </c>
    </row>
    <row r="10" customFormat="false" ht="15" hidden="false" customHeight="false" outlineLevel="0" collapsed="false">
      <c r="C10" s="80" t="s">
        <v>325</v>
      </c>
      <c r="D10" s="81" t="n">
        <v>1</v>
      </c>
    </row>
    <row r="14" customFormat="false" ht="15" hidden="false" customHeight="true" outlineLevel="0" collapsed="false">
      <c r="C14" s="42" t="s">
        <v>352</v>
      </c>
      <c r="D14" s="42"/>
      <c r="E14" s="42"/>
    </row>
    <row r="15" customFormat="false" ht="15" hidden="false" customHeight="false" outlineLevel="0" collapsed="false">
      <c r="C15" s="43" t="s">
        <v>353</v>
      </c>
      <c r="D15" s="44" t="s">
        <v>354</v>
      </c>
      <c r="E15" s="45" t="s">
        <v>198</v>
      </c>
    </row>
    <row r="16" customFormat="false" ht="15" hidden="false" customHeight="false" outlineLevel="0" collapsed="false">
      <c r="C16" s="49" t="s">
        <v>340</v>
      </c>
      <c r="D16" s="58" t="s">
        <v>339</v>
      </c>
      <c r="E16" s="51" t="s">
        <v>341</v>
      </c>
    </row>
    <row r="17" customFormat="false" ht="15" hidden="false" customHeight="false" outlineLevel="0" collapsed="false">
      <c r="C17" s="91" t="s">
        <v>343</v>
      </c>
      <c r="D17" s="104" t="n">
        <v>1500</v>
      </c>
      <c r="E17" s="79" t="n">
        <v>0</v>
      </c>
    </row>
    <row r="18" customFormat="false" ht="15" hidden="false" customHeight="false" outlineLevel="0" collapsed="false">
      <c r="C18" s="91" t="s">
        <v>355</v>
      </c>
      <c r="D18" s="92" t="n">
        <v>100</v>
      </c>
      <c r="E18" s="79" t="n">
        <v>0</v>
      </c>
    </row>
    <row r="19" customFormat="false" ht="15" hidden="false" customHeight="false" outlineLevel="0" collapsed="false">
      <c r="C19" s="91" t="s">
        <v>343</v>
      </c>
      <c r="D19" s="104" t="n">
        <v>2000</v>
      </c>
      <c r="E19" s="79" t="s">
        <v>317</v>
      </c>
    </row>
    <row r="20" customFormat="false" ht="15" hidden="false" customHeight="false" outlineLevel="0" collapsed="false">
      <c r="C20" s="52" t="s">
        <v>356</v>
      </c>
      <c r="D20" s="59" t="n">
        <v>600</v>
      </c>
      <c r="E20" s="93" t="n">
        <v>1</v>
      </c>
    </row>
  </sheetData>
  <mergeCells count="2">
    <mergeCell ref="C6:D6"/>
    <mergeCell ref="C14:E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3D69B"/>
    <pageSetUpPr fitToPage="false"/>
  </sheetPr>
  <dimension ref="A1:H4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29" activeCellId="0" sqref="C29"/>
    </sheetView>
  </sheetViews>
  <sheetFormatPr defaultColWidth="8.734375" defaultRowHeight="15" zeroHeight="false" outlineLevelRow="0" outlineLevelCol="0"/>
  <cols>
    <col min="1" max="1" customWidth="true" hidden="false" style="0" width="9.11" collapsed="false" outlineLevel="0"/>
    <col min="3" max="3" customWidth="true" hidden="false" style="0" width="44.89" collapsed="false" outlineLevel="0"/>
    <col min="4" max="4" customWidth="true" hidden="false" style="0" width="40.44" collapsed="false" outlineLevel="0"/>
    <col min="5" max="5" customWidth="true" hidden="false" style="0" width="35.33" collapsed="false" outlineLevel="0"/>
    <col min="6" max="6" customWidth="true" hidden="false" style="0" width="15.1" collapsed="false" outlineLevel="0"/>
    <col min="8" max="8" customWidth="true" hidden="false" style="0" width="26.33" collapsed="false" outlineLevel="0"/>
  </cols>
  <sheetData>
    <row r="1" customFormat="false" ht="15" hidden="false" customHeight="false" outlineLevel="0" collapsed="false">
      <c r="A1" s="14"/>
      <c r="H1" s="18" t="s">
        <v>357</v>
      </c>
    </row>
    <row r="2" customFormat="false" ht="15" hidden="false" customHeight="false" outlineLevel="0" collapsed="false">
      <c r="A2" s="14"/>
      <c r="H2" s="14"/>
    </row>
    <row r="3" customFormat="false" ht="20.25" hidden="false" customHeight="false" outlineLevel="0" collapsed="false">
      <c r="A3" s="14"/>
      <c r="B3" s="4" t="s">
        <v>358</v>
      </c>
      <c r="C3" s="4"/>
      <c r="H3" s="14"/>
    </row>
    <row r="4" customFormat="false" ht="15" hidden="false" customHeight="false" outlineLevel="0" collapsed="false">
      <c r="A4" s="14"/>
      <c r="H4" s="14"/>
    </row>
    <row r="5" customFormat="false" ht="53.25" hidden="false" customHeight="true" outlineLevel="0" collapsed="false">
      <c r="A5" s="14"/>
      <c r="C5" s="5" t="s">
        <v>359</v>
      </c>
      <c r="D5" s="5"/>
      <c r="H5" s="14"/>
    </row>
    <row r="6" customFormat="false" ht="15" hidden="false" customHeight="false" outlineLevel="0" collapsed="false">
      <c r="A6" s="14"/>
      <c r="H6" s="14"/>
    </row>
    <row r="8" customFormat="false" ht="18" hidden="false" customHeight="false" outlineLevel="0" collapsed="false">
      <c r="C8" s="71" t="s">
        <v>360</v>
      </c>
      <c r="D8" s="71"/>
    </row>
    <row r="9" customFormat="false" ht="18" hidden="false" customHeight="false" outlineLevel="0" collapsed="false">
      <c r="C9" s="11" t="s">
        <v>361</v>
      </c>
      <c r="D9" s="13" t="s">
        <v>362</v>
      </c>
    </row>
    <row r="10" customFormat="false" ht="15" hidden="false" customHeight="false" outlineLevel="0" collapsed="false">
      <c r="C10" s="64" t="s">
        <v>324</v>
      </c>
      <c r="D10" s="65" t="n">
        <v>1</v>
      </c>
    </row>
    <row r="11" customFormat="false" ht="15" hidden="false" customHeight="false" outlineLevel="0" collapsed="false">
      <c r="C11" s="69" t="s">
        <v>325</v>
      </c>
      <c r="D11" s="70" t="n">
        <v>0</v>
      </c>
    </row>
    <row r="15" customFormat="false" ht="18" hidden="false" customHeight="false" outlineLevel="0" collapsed="false">
      <c r="C15" s="71" t="s">
        <v>363</v>
      </c>
      <c r="D15" s="71"/>
    </row>
    <row r="16" customFormat="false" ht="18" hidden="false" customHeight="false" outlineLevel="0" collapsed="false">
      <c r="C16" s="11" t="s">
        <v>364</v>
      </c>
      <c r="D16" s="13" t="s">
        <v>365</v>
      </c>
    </row>
    <row r="17" customFormat="false" ht="15" hidden="false" customHeight="false" outlineLevel="0" collapsed="false">
      <c r="C17" s="64" t="s">
        <v>324</v>
      </c>
      <c r="D17" s="65" t="n">
        <v>1</v>
      </c>
    </row>
    <row r="18" customFormat="false" ht="15" hidden="false" customHeight="false" outlineLevel="0" collapsed="false">
      <c r="C18" s="69" t="s">
        <v>325</v>
      </c>
      <c r="D18" s="70" t="n">
        <v>0</v>
      </c>
    </row>
    <row r="22" customFormat="false" ht="18" hidden="false" customHeight="false" outlineLevel="0" collapsed="false">
      <c r="C22" s="7" t="s">
        <v>366</v>
      </c>
      <c r="D22" s="7"/>
      <c r="E22" s="7"/>
    </row>
    <row r="23" customFormat="false" ht="18" hidden="false" customHeight="false" outlineLevel="0" collapsed="false">
      <c r="C23" s="11" t="s">
        <v>367</v>
      </c>
      <c r="D23" s="105" t="s">
        <v>324</v>
      </c>
      <c r="E23" s="106" t="s">
        <v>325</v>
      </c>
    </row>
    <row r="24" customFormat="false" ht="15" hidden="false" customHeight="false" outlineLevel="0" collapsed="false">
      <c r="C24" s="64" t="s">
        <v>343</v>
      </c>
      <c r="D24" s="65" t="n">
        <v>1</v>
      </c>
      <c r="E24" s="65"/>
    </row>
    <row r="25" customFormat="false" ht="15" hidden="false" customHeight="false" outlineLevel="0" collapsed="false">
      <c r="C25" s="69"/>
      <c r="D25" s="107" t="n">
        <v>1</v>
      </c>
      <c r="E25" s="70" t="s">
        <v>368</v>
      </c>
    </row>
    <row r="29" customFormat="false" ht="18" hidden="false" customHeight="false" outlineLevel="0" collapsed="false">
      <c r="C29" s="7" t="s">
        <v>369</v>
      </c>
      <c r="D29" s="7"/>
      <c r="E29" s="7"/>
      <c r="F29" s="7"/>
    </row>
    <row r="30" customFormat="false" ht="18" hidden="false" customHeight="false" outlineLevel="0" collapsed="false">
      <c r="C30" s="11" t="s">
        <v>370</v>
      </c>
      <c r="D30" s="105" t="s">
        <v>371</v>
      </c>
      <c r="E30" s="108" t="s">
        <v>372</v>
      </c>
      <c r="F30" s="106" t="s">
        <v>373</v>
      </c>
    </row>
    <row r="31" customFormat="false" ht="15" hidden="false" customHeight="false" outlineLevel="0" collapsed="false">
      <c r="C31" s="64" t="s">
        <v>343</v>
      </c>
      <c r="D31" s="109" t="n">
        <v>0</v>
      </c>
      <c r="E31" s="109" t="n">
        <v>0.9</v>
      </c>
      <c r="F31" s="110" t="n">
        <v>1</v>
      </c>
    </row>
    <row r="32" customFormat="false" ht="15" hidden="false" customHeight="false" outlineLevel="0" collapsed="false">
      <c r="C32" s="69"/>
      <c r="D32" s="70" t="n">
        <v>1</v>
      </c>
      <c r="E32" s="70"/>
      <c r="F32" s="70"/>
    </row>
    <row r="33" customFormat="false" ht="15" hidden="false" customHeight="false" outlineLevel="0" collapsed="false">
      <c r="C33" s="95"/>
      <c r="D33" s="95"/>
    </row>
    <row r="35" customFormat="false" ht="15" hidden="false" customHeight="false" outlineLevel="0" collapsed="false">
      <c r="C35" s="111"/>
      <c r="D35" s="111"/>
      <c r="E35" s="111"/>
    </row>
    <row r="36" customFormat="false" ht="15" hidden="false" customHeight="false" outlineLevel="0" collapsed="false">
      <c r="C36" s="95"/>
      <c r="D36" s="95"/>
      <c r="E36" s="95"/>
    </row>
    <row r="37" customFormat="false" ht="15" hidden="false" customHeight="false" outlineLevel="0" collapsed="false">
      <c r="C37" s="95"/>
      <c r="D37" s="95"/>
    </row>
    <row r="38" customFormat="false" ht="15" hidden="false" customHeight="false" outlineLevel="0" collapsed="false">
      <c r="C38" s="95"/>
    </row>
    <row r="39" customFormat="false" ht="15" hidden="false" customHeight="false" outlineLevel="0" collapsed="false">
      <c r="C39" s="95"/>
    </row>
    <row r="40" customFormat="false" ht="15" hidden="false" customHeight="false" outlineLevel="0" collapsed="false">
      <c r="C40" s="95"/>
    </row>
    <row r="41" customFormat="false" ht="15" hidden="false" customHeight="false" outlineLevel="0" collapsed="false">
      <c r="C41" s="95"/>
    </row>
  </sheetData>
  <mergeCells count="7">
    <mergeCell ref="C5:D5"/>
    <mergeCell ref="C8:D8"/>
    <mergeCell ref="C15:D15"/>
    <mergeCell ref="C22:E22"/>
    <mergeCell ref="D24:E24"/>
    <mergeCell ref="C29:F29"/>
    <mergeCell ref="D32:F32"/>
  </mergeCells>
  <hyperlinks>
    <hyperlink ref="H1" location="'Rating Algorithm'!A88" display="Rating Algorithm'!A88"/>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3: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4375" defaultRowHeight="15" zeroHeight="false" outlineLevelRow="0" outlineLevelCol="0"/>
  <cols>
    <col min="3" max="3" customWidth="true" hidden="false" style="0" width="27.11" collapsed="false" outlineLevel="0"/>
    <col min="4" max="4" customWidth="true" hidden="false" style="0" width="27.44" collapsed="false" outlineLevel="0"/>
    <col min="5" max="5" customWidth="true" hidden="false" style="0" width="31.66" collapsed="false" outlineLevel="0"/>
  </cols>
  <sheetData>
    <row r="3" customFormat="false" ht="20.25" hidden="false" customHeight="false" outlineLevel="0" collapsed="false">
      <c r="B3" s="4" t="s">
        <v>374</v>
      </c>
      <c r="C3" s="4"/>
      <c r="D3" s="4"/>
    </row>
    <row r="6" customFormat="false" ht="15" hidden="false" customHeight="true" outlineLevel="0" collapsed="false">
      <c r="C6" s="42" t="s">
        <v>375</v>
      </c>
      <c r="D6" s="42"/>
      <c r="E6" s="42"/>
    </row>
    <row r="7" customFormat="false" ht="15" hidden="false" customHeight="false" outlineLevel="0" collapsed="false">
      <c r="C7" s="43" t="s">
        <v>353</v>
      </c>
      <c r="D7" s="44" t="s">
        <v>376</v>
      </c>
      <c r="E7" s="45" t="s">
        <v>198</v>
      </c>
    </row>
    <row r="8" customFormat="false" ht="22.5" hidden="false" customHeight="true" outlineLevel="0" collapsed="false">
      <c r="C8" s="49" t="s">
        <v>340</v>
      </c>
      <c r="D8" s="58" t="s">
        <v>377</v>
      </c>
      <c r="E8" s="51" t="s">
        <v>378</v>
      </c>
    </row>
    <row r="9" customFormat="false" ht="15" hidden="false" customHeight="false" outlineLevel="0" collapsed="false">
      <c r="C9" s="112" t="s">
        <v>379</v>
      </c>
      <c r="D9" s="113" t="b">
        <f aca="false">TRUE()</f>
        <v>1</v>
      </c>
      <c r="E9" s="114" t="n">
        <v>1</v>
      </c>
    </row>
    <row r="10" customFormat="false" ht="15" hidden="false" customHeight="false" outlineLevel="0" collapsed="false">
      <c r="C10" s="115" t="s">
        <v>343</v>
      </c>
      <c r="D10" s="116" t="b">
        <f aca="false">TRUE()</f>
        <v>1</v>
      </c>
      <c r="E10" s="117" t="n">
        <v>1</v>
      </c>
    </row>
    <row r="11" customFormat="false" ht="15" hidden="false" customHeight="false" outlineLevel="0" collapsed="false">
      <c r="C11" s="115" t="s">
        <v>343</v>
      </c>
      <c r="D11" s="118" t="b">
        <f aca="false">FALSE()</f>
        <v>0</v>
      </c>
      <c r="E11" s="117" t="n">
        <v>1</v>
      </c>
    </row>
    <row r="12" customFormat="false" ht="15" hidden="false" customHeight="false" outlineLevel="0" collapsed="false">
      <c r="C12" s="119" t="s">
        <v>355</v>
      </c>
      <c r="D12" s="120" t="b">
        <f aca="false">FALSE()</f>
        <v>0</v>
      </c>
      <c r="E12" s="121" t="n">
        <v>0.7</v>
      </c>
    </row>
    <row r="16" customFormat="false" ht="15" hidden="false" customHeight="true" outlineLevel="0" collapsed="false">
      <c r="C16" s="42" t="s">
        <v>380</v>
      </c>
      <c r="D16" s="42"/>
      <c r="E16" s="42"/>
    </row>
    <row r="17" customFormat="false" ht="15" hidden="false" customHeight="false" outlineLevel="0" collapsed="false">
      <c r="C17" s="43" t="s">
        <v>353</v>
      </c>
      <c r="D17" s="44" t="s">
        <v>381</v>
      </c>
      <c r="E17" s="45" t="s">
        <v>198</v>
      </c>
    </row>
    <row r="18" customFormat="false" ht="15" hidden="false" customHeight="false" outlineLevel="0" collapsed="false">
      <c r="C18" s="49" t="s">
        <v>353</v>
      </c>
      <c r="D18" s="58" t="s">
        <v>382</v>
      </c>
      <c r="E18" s="51" t="s">
        <v>383</v>
      </c>
    </row>
    <row r="19" customFormat="false" ht="15" hidden="false" customHeight="false" outlineLevel="0" collapsed="false">
      <c r="C19" s="112" t="s">
        <v>343</v>
      </c>
      <c r="D19" s="122" t="n">
        <v>100</v>
      </c>
      <c r="E19" s="114" t="n">
        <v>0</v>
      </c>
    </row>
    <row r="20" customFormat="false" ht="15" hidden="false" customHeight="false" outlineLevel="0" collapsed="false">
      <c r="C20" s="112" t="s">
        <v>343</v>
      </c>
      <c r="D20" s="123" t="n">
        <v>1000</v>
      </c>
      <c r="E20" s="124" t="s">
        <v>317</v>
      </c>
    </row>
    <row r="21" customFormat="false" ht="15" hidden="false" customHeight="false" outlineLevel="0" collapsed="false">
      <c r="C21" s="115" t="s">
        <v>343</v>
      </c>
      <c r="D21" s="125" t="n">
        <v>2000</v>
      </c>
      <c r="E21" s="117" t="n">
        <v>1</v>
      </c>
    </row>
    <row r="22" customFormat="false" ht="15" hidden="false" customHeight="false" outlineLevel="0" collapsed="false">
      <c r="C22" s="119" t="s">
        <v>355</v>
      </c>
      <c r="D22" s="120" t="n">
        <v>300</v>
      </c>
      <c r="E22" s="121" t="n">
        <v>1</v>
      </c>
    </row>
    <row r="25" customFormat="false" ht="15" hidden="false" customHeight="false" outlineLevel="0" collapsed="false">
      <c r="C25" s="95"/>
    </row>
  </sheetData>
  <mergeCells count="2">
    <mergeCell ref="C6:E6"/>
    <mergeCell ref="C16:E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3D69B"/>
    <pageSetUpPr fitToPage="false"/>
  </sheetPr>
  <dimension ref="A1:F2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10" activeCellId="0" sqref="C10"/>
    </sheetView>
  </sheetViews>
  <sheetFormatPr defaultColWidth="8.734375" defaultRowHeight="15" zeroHeight="false" outlineLevelRow="0" outlineLevelCol="0"/>
  <cols>
    <col min="3" max="3" customWidth="true" hidden="false" style="0" width="24.99" collapsed="false" outlineLevel="0"/>
    <col min="4" max="4" customWidth="true" hidden="false" style="0" width="31.66" collapsed="false" outlineLevel="0"/>
    <col min="5" max="5" customWidth="true" hidden="false" style="0" width="36.0" collapsed="false" outlineLevel="0"/>
  </cols>
  <sheetData>
    <row r="1" customFormat="false" ht="15" hidden="false" customHeight="false" outlineLevel="0" collapsed="false">
      <c r="A1" s="14"/>
      <c r="F1" s="18" t="s">
        <v>384</v>
      </c>
    </row>
    <row r="2" customFormat="false" ht="15" hidden="false" customHeight="false" outlineLevel="0" collapsed="false">
      <c r="A2" s="14"/>
      <c r="F2" s="14"/>
    </row>
    <row r="3" customFormat="false" ht="20.25" hidden="false" customHeight="false" outlineLevel="0" collapsed="false">
      <c r="A3" s="14"/>
      <c r="B3" s="4" t="s">
        <v>385</v>
      </c>
      <c r="C3" s="4"/>
      <c r="F3" s="14"/>
    </row>
    <row r="4" customFormat="false" ht="15" hidden="false" customHeight="false" outlineLevel="0" collapsed="false">
      <c r="A4" s="14"/>
      <c r="F4" s="14"/>
    </row>
    <row r="5" customFormat="false" ht="219" hidden="false" customHeight="true" outlineLevel="0" collapsed="false">
      <c r="A5" s="14"/>
      <c r="C5" s="5" t="s">
        <v>386</v>
      </c>
      <c r="D5" s="5"/>
      <c r="E5" s="5"/>
      <c r="F5" s="14"/>
    </row>
    <row r="6" customFormat="false" ht="15" hidden="false" customHeight="false" outlineLevel="0" collapsed="false">
      <c r="A6" s="14"/>
      <c r="C6" s="126"/>
      <c r="F6" s="14"/>
    </row>
    <row r="8" customFormat="false" ht="18" hidden="false" customHeight="false" outlineLevel="0" collapsed="false">
      <c r="C8" s="7" t="s">
        <v>387</v>
      </c>
      <c r="D8" s="7"/>
    </row>
    <row r="9" customFormat="false" ht="18" hidden="false" customHeight="false" outlineLevel="0" collapsed="false">
      <c r="C9" s="11" t="s">
        <v>388</v>
      </c>
      <c r="D9" s="13" t="s">
        <v>187</v>
      </c>
    </row>
    <row r="10" customFormat="false" ht="15" hidden="false" customHeight="false" outlineLevel="0" collapsed="false">
      <c r="C10" s="64" t="s">
        <v>389</v>
      </c>
      <c r="D10" s="65" t="s">
        <v>390</v>
      </c>
    </row>
    <row r="11" customFormat="false" ht="15" hidden="false" customHeight="false" outlineLevel="0" collapsed="false">
      <c r="C11" s="67" t="s">
        <v>391</v>
      </c>
      <c r="D11" s="68" t="s">
        <v>392</v>
      </c>
    </row>
    <row r="12" customFormat="false" ht="15" hidden="false" customHeight="false" outlineLevel="0" collapsed="false">
      <c r="C12" s="67" t="s">
        <v>393</v>
      </c>
      <c r="D12" s="68" t="s">
        <v>189</v>
      </c>
    </row>
    <row r="13" customFormat="false" ht="15" hidden="false" customHeight="false" outlineLevel="0" collapsed="false">
      <c r="C13" s="67" t="s">
        <v>394</v>
      </c>
      <c r="D13" s="68" t="s">
        <v>395</v>
      </c>
    </row>
    <row r="14" customFormat="false" ht="15" hidden="false" customHeight="false" outlineLevel="0" collapsed="false">
      <c r="C14" s="69" t="s">
        <v>396</v>
      </c>
      <c r="D14" s="70" t="s">
        <v>397</v>
      </c>
    </row>
    <row r="18" customFormat="false" ht="15" hidden="false" customHeight="false" outlineLevel="0" collapsed="false">
      <c r="C18" s="111"/>
      <c r="D18" s="111"/>
    </row>
    <row r="19" customFormat="false" ht="15" hidden="false" customHeight="false" outlineLevel="0" collapsed="false">
      <c r="C19" s="95"/>
      <c r="D19" s="95"/>
    </row>
    <row r="20" customFormat="false" ht="15" hidden="false" customHeight="false" outlineLevel="0" collapsed="false">
      <c r="C20" s="95"/>
      <c r="D20" s="95"/>
    </row>
    <row r="21" customFormat="false" ht="15" hidden="false" customHeight="false" outlineLevel="0" collapsed="false">
      <c r="C21" s="95"/>
      <c r="D21" s="95"/>
    </row>
  </sheetData>
  <mergeCells count="2">
    <mergeCell ref="C5:E5"/>
    <mergeCell ref="C8:D8"/>
  </mergeCells>
  <hyperlinks>
    <hyperlink ref="F1" location="'Rating Algorithm'!A19" display="Rating Algorithm'!A19"/>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C3: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4375" defaultRowHeight="15" zeroHeight="false" outlineLevelRow="0" outlineLevelCol="0"/>
  <cols>
    <col min="3" max="3" customWidth="true" hidden="false" style="0" width="22.66" collapsed="false" outlineLevel="0"/>
    <col min="4" max="4" customWidth="true" hidden="false" style="0" width="25.66" collapsed="false" outlineLevel="0"/>
  </cols>
  <sheetData>
    <row r="3" customFormat="false" ht="20.25" hidden="false" customHeight="false" outlineLevel="0" collapsed="false">
      <c r="C3" s="4" t="s">
        <v>398</v>
      </c>
    </row>
    <row r="6" customFormat="false" ht="15" hidden="false" customHeight="true" outlineLevel="0" collapsed="false">
      <c r="C6" s="72" t="s">
        <v>399</v>
      </c>
      <c r="D6" s="72"/>
    </row>
    <row r="7" customFormat="false" ht="15" hidden="false" customHeight="false" outlineLevel="0" collapsed="false">
      <c r="C7" s="73" t="s">
        <v>400</v>
      </c>
      <c r="D7" s="74" t="s">
        <v>198</v>
      </c>
    </row>
    <row r="8" customFormat="false" ht="15" hidden="false" customHeight="false" outlineLevel="0" collapsed="false">
      <c r="C8" s="75" t="s">
        <v>388</v>
      </c>
      <c r="D8" s="76" t="s">
        <v>187</v>
      </c>
    </row>
    <row r="9" customFormat="false" ht="15" hidden="false" customHeight="false" outlineLevel="0" collapsed="false">
      <c r="C9" s="127" t="n">
        <v>0</v>
      </c>
      <c r="D9" s="79" t="s">
        <v>390</v>
      </c>
    </row>
    <row r="10" customFormat="false" ht="15" hidden="false" customHeight="false" outlineLevel="0" collapsed="false">
      <c r="C10" s="127" t="s">
        <v>401</v>
      </c>
      <c r="D10" s="79" t="s">
        <v>390</v>
      </c>
    </row>
    <row r="11" customFormat="false" ht="15" hidden="false" customHeight="false" outlineLevel="0" collapsed="false">
      <c r="C11" s="127" t="s">
        <v>368</v>
      </c>
      <c r="D11" s="79" t="s">
        <v>189</v>
      </c>
    </row>
    <row r="12" customFormat="false" ht="15" hidden="false" customHeight="false" outlineLevel="0" collapsed="false">
      <c r="C12" s="77" t="s">
        <v>402</v>
      </c>
      <c r="D12" s="79" t="s">
        <v>395</v>
      </c>
    </row>
    <row r="13" customFormat="false" ht="15" hidden="false" customHeight="false" outlineLevel="0" collapsed="false">
      <c r="C13" s="80" t="n">
        <v>1</v>
      </c>
      <c r="D13" s="93" t="s">
        <v>397</v>
      </c>
    </row>
  </sheetData>
  <mergeCells count="1">
    <mergeCell ref="C6:D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3D69B"/>
    <pageSetUpPr fitToPage="false"/>
  </sheetPr>
  <dimension ref="A1:O40"/>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J21" activeCellId="0" sqref="J21"/>
    </sheetView>
  </sheetViews>
  <sheetFormatPr defaultColWidth="8.734375" defaultRowHeight="15" zeroHeight="false" outlineLevelRow="0" outlineLevelCol="0"/>
  <cols>
    <col min="1" max="1" customWidth="true" hidden="false" style="0" width="4.33" collapsed="false" outlineLevel="0"/>
    <col min="2" max="2" customWidth="true" hidden="false" style="0" width="3.89" collapsed="false" outlineLevel="0"/>
    <col min="3" max="3" customWidth="true" hidden="false" style="0" width="9.88" collapsed="false" outlineLevel="0"/>
    <col min="4" max="4" customWidth="true" hidden="false" style="0" width="24.01" collapsed="false" outlineLevel="0"/>
    <col min="5" max="5" customWidth="true" hidden="false" style="0" width="44.45" collapsed="false" outlineLevel="0"/>
    <col min="6" max="6" customWidth="true" hidden="false" style="0" width="30.89" collapsed="false" outlineLevel="0"/>
    <col min="7" max="7" customWidth="true" hidden="false" style="0" width="11.56" collapsed="false" outlineLevel="0"/>
    <col min="8" max="8" customWidth="true" hidden="false" style="0" width="11.99" collapsed="false" outlineLevel="0"/>
    <col min="9" max="9" customWidth="true" hidden="false" style="0" width="11.56" collapsed="false" outlineLevel="0"/>
    <col min="10" max="10" customWidth="true" hidden="false" style="0" width="11.1" collapsed="false" outlineLevel="0"/>
    <col min="11" max="12" customWidth="true" hidden="false" style="0" width="12.11" collapsed="false" outlineLevel="0"/>
    <col min="13" max="13" customWidth="true" hidden="false" style="0" width="12.89" collapsed="false" outlineLevel="0"/>
  </cols>
  <sheetData>
    <row r="1" customFormat="false" ht="15" hidden="false" customHeight="false" outlineLevel="0" collapsed="false">
      <c r="A1" s="14"/>
      <c r="O1" s="18" t="s">
        <v>403</v>
      </c>
    </row>
    <row r="2" customFormat="false" ht="15" hidden="false" customHeight="false" outlineLevel="0" collapsed="false">
      <c r="A2" s="14"/>
      <c r="O2" s="14"/>
    </row>
    <row r="3" customFormat="false" ht="20.25" hidden="false" customHeight="false" outlineLevel="0" collapsed="false">
      <c r="A3" s="14"/>
      <c r="C3" s="4" t="s">
        <v>404</v>
      </c>
      <c r="D3" s="4"/>
      <c r="O3" s="14"/>
    </row>
    <row r="4" customFormat="false" ht="15" hidden="false" customHeight="false" outlineLevel="0" collapsed="false">
      <c r="A4" s="14"/>
      <c r="O4" s="14"/>
    </row>
    <row r="5" customFormat="false" ht="42.75" hidden="false" customHeight="true" outlineLevel="0" collapsed="false">
      <c r="A5" s="14"/>
      <c r="D5" s="5" t="s">
        <v>405</v>
      </c>
      <c r="E5" s="5"/>
      <c r="O5" s="14"/>
    </row>
    <row r="6" customFormat="false" ht="15" hidden="false" customHeight="false" outlineLevel="0" collapsed="false">
      <c r="A6" s="14"/>
      <c r="O6" s="14"/>
    </row>
    <row r="8" customFormat="false" ht="17.25" hidden="false" customHeight="false" outlineLevel="0" collapsed="false">
      <c r="C8" s="7" t="s">
        <v>406</v>
      </c>
      <c r="D8" s="7"/>
      <c r="E8" s="7"/>
      <c r="F8" s="7"/>
      <c r="G8" s="7"/>
      <c r="H8" s="7"/>
      <c r="I8" s="7"/>
      <c r="J8" s="7"/>
      <c r="K8" s="7"/>
      <c r="L8" s="7"/>
      <c r="M8" s="7"/>
    </row>
    <row r="9" customFormat="false" ht="15" hidden="false" customHeight="false" outlineLevel="0" collapsed="false">
      <c r="C9" s="128" t="s">
        <v>407</v>
      </c>
      <c r="D9" s="129" t="s">
        <v>408</v>
      </c>
      <c r="E9" s="129"/>
      <c r="F9" s="130" t="s">
        <v>409</v>
      </c>
      <c r="G9" s="130" t="s">
        <v>410</v>
      </c>
      <c r="H9" s="130" t="s">
        <v>411</v>
      </c>
      <c r="I9" s="130" t="s">
        <v>412</v>
      </c>
      <c r="J9" s="130"/>
      <c r="K9" s="130"/>
      <c r="L9" s="130"/>
      <c r="M9" s="131"/>
    </row>
    <row r="10" customFormat="false" ht="15" hidden="false" customHeight="false" outlineLevel="0" collapsed="false">
      <c r="C10" s="132"/>
      <c r="D10" s="133" t="s">
        <v>413</v>
      </c>
      <c r="E10" s="133"/>
      <c r="F10" s="134" t="s">
        <v>414</v>
      </c>
      <c r="G10" s="134" t="s">
        <v>353</v>
      </c>
      <c r="H10" s="134" t="s">
        <v>415</v>
      </c>
      <c r="I10" s="134"/>
      <c r="J10" s="134"/>
      <c r="K10" s="134"/>
      <c r="L10" s="134"/>
      <c r="M10" s="135"/>
    </row>
    <row r="11" customFormat="false" ht="15" hidden="false" customHeight="false" outlineLevel="0" collapsed="false">
      <c r="C11" s="136"/>
      <c r="D11" s="137" t="s">
        <v>416</v>
      </c>
      <c r="E11" s="137" t="s">
        <v>417</v>
      </c>
      <c r="F11" s="137" t="s">
        <v>418</v>
      </c>
      <c r="G11" s="137" t="s">
        <v>419</v>
      </c>
      <c r="H11" s="137" t="s">
        <v>420</v>
      </c>
      <c r="I11" s="137"/>
      <c r="J11" s="137"/>
      <c r="K11" s="137"/>
      <c r="L11" s="137"/>
      <c r="M11" s="138"/>
    </row>
    <row r="12" customFormat="false" ht="18.75" hidden="false" customHeight="true" outlineLevel="0" collapsed="false">
      <c r="C12" s="11" t="s">
        <v>421</v>
      </c>
      <c r="D12" s="97" t="s">
        <v>422</v>
      </c>
      <c r="E12" s="97" t="s">
        <v>423</v>
      </c>
      <c r="F12" s="139" t="s">
        <v>424</v>
      </c>
      <c r="G12" s="140" t="s">
        <v>425</v>
      </c>
      <c r="H12" s="140"/>
      <c r="I12" s="140"/>
      <c r="J12" s="88" t="s">
        <v>426</v>
      </c>
      <c r="K12" s="88"/>
      <c r="L12" s="88"/>
      <c r="M12" s="106"/>
    </row>
    <row r="13" customFormat="false" ht="21" hidden="false" customHeight="true" outlineLevel="0" collapsed="false">
      <c r="C13" s="11"/>
      <c r="D13" s="97"/>
      <c r="E13" s="97"/>
      <c r="F13" s="97"/>
      <c r="G13" s="141" t="s">
        <v>427</v>
      </c>
      <c r="H13" s="142" t="s">
        <v>428</v>
      </c>
      <c r="I13" s="142" t="s">
        <v>429</v>
      </c>
      <c r="J13" s="142" t="s">
        <v>430</v>
      </c>
      <c r="K13" s="142" t="s">
        <v>431</v>
      </c>
      <c r="L13" s="142" t="s">
        <v>432</v>
      </c>
      <c r="M13" s="143"/>
    </row>
    <row r="14" customFormat="false" ht="15" hidden="false" customHeight="false" outlineLevel="0" collapsed="false">
      <c r="C14" s="144" t="n">
        <v>1</v>
      </c>
      <c r="D14" s="88" t="s">
        <v>433</v>
      </c>
      <c r="E14" s="88" t="s">
        <v>434</v>
      </c>
      <c r="F14" s="88"/>
      <c r="G14" s="145" t="n">
        <v>1</v>
      </c>
      <c r="H14" s="145"/>
      <c r="I14" s="145"/>
      <c r="J14" s="145"/>
      <c r="K14" s="145"/>
      <c r="L14" s="145"/>
      <c r="M14" s="145"/>
    </row>
    <row r="15" customFormat="false" ht="15" hidden="false" customHeight="false" outlineLevel="0" collapsed="false">
      <c r="C15" s="146" t="n">
        <v>2</v>
      </c>
      <c r="D15" s="99" t="s">
        <v>435</v>
      </c>
      <c r="E15" s="99" t="s">
        <v>436</v>
      </c>
      <c r="F15" s="88"/>
      <c r="G15" s="145"/>
      <c r="H15" s="145"/>
      <c r="I15" s="145"/>
      <c r="J15" s="145"/>
      <c r="K15" s="145"/>
      <c r="L15" s="145"/>
      <c r="M15" s="145"/>
    </row>
    <row r="16" customFormat="false" ht="15" hidden="false" customHeight="false" outlineLevel="0" collapsed="false">
      <c r="C16" s="146" t="n">
        <v>3</v>
      </c>
      <c r="D16" s="99" t="s">
        <v>437</v>
      </c>
      <c r="E16" s="99" t="s">
        <v>436</v>
      </c>
      <c r="F16" s="88"/>
      <c r="G16" s="145"/>
      <c r="H16" s="145"/>
      <c r="I16" s="145"/>
      <c r="J16" s="145"/>
      <c r="K16" s="145"/>
      <c r="L16" s="145"/>
      <c r="M16" s="145"/>
    </row>
    <row r="17" customFormat="false" ht="15" hidden="false" customHeight="false" outlineLevel="0" collapsed="false">
      <c r="C17" s="146" t="n">
        <v>4</v>
      </c>
      <c r="D17" s="99" t="s">
        <v>433</v>
      </c>
      <c r="E17" s="99" t="s">
        <v>438</v>
      </c>
      <c r="F17" s="99" t="s">
        <v>439</v>
      </c>
      <c r="G17" s="145" t="n">
        <v>0.8</v>
      </c>
      <c r="H17" s="145"/>
      <c r="I17" s="145"/>
      <c r="J17" s="145"/>
      <c r="K17" s="145"/>
      <c r="L17" s="145"/>
      <c r="M17" s="145"/>
    </row>
    <row r="18" customFormat="false" ht="15" hidden="false" customHeight="false" outlineLevel="0" collapsed="false">
      <c r="C18" s="146" t="n">
        <v>5</v>
      </c>
      <c r="D18" s="99" t="s">
        <v>435</v>
      </c>
      <c r="E18" s="99" t="s">
        <v>440</v>
      </c>
      <c r="F18" s="99"/>
      <c r="G18" s="145"/>
      <c r="H18" s="145"/>
      <c r="I18" s="145"/>
      <c r="J18" s="145"/>
      <c r="K18" s="145"/>
      <c r="L18" s="145"/>
      <c r="M18" s="145"/>
    </row>
    <row r="19" customFormat="false" ht="15" hidden="false" customHeight="false" outlineLevel="0" collapsed="false">
      <c r="C19" s="146" t="n">
        <v>6</v>
      </c>
      <c r="D19" s="99" t="s">
        <v>437</v>
      </c>
      <c r="E19" s="99" t="s">
        <v>440</v>
      </c>
      <c r="F19" s="99"/>
      <c r="G19" s="145"/>
      <c r="H19" s="145"/>
      <c r="I19" s="145"/>
      <c r="J19" s="145"/>
      <c r="K19" s="145"/>
      <c r="L19" s="145"/>
      <c r="M19" s="145"/>
    </row>
    <row r="20" customFormat="false" ht="15" hidden="false" customHeight="false" outlineLevel="0" collapsed="false">
      <c r="C20" s="146" t="n">
        <v>7</v>
      </c>
      <c r="D20" s="147"/>
      <c r="E20" s="147"/>
      <c r="F20" s="99" t="s">
        <v>397</v>
      </c>
      <c r="G20" s="109" t="n">
        <v>0.25</v>
      </c>
      <c r="H20" s="109" t="n">
        <v>0.9</v>
      </c>
      <c r="I20" s="109" t="n">
        <v>1</v>
      </c>
      <c r="J20" s="109" t="n">
        <v>0.25</v>
      </c>
      <c r="K20" s="109" t="n">
        <v>0.8</v>
      </c>
      <c r="L20" s="109" t="n">
        <v>1</v>
      </c>
      <c r="M20" s="145" t="n">
        <v>0.7</v>
      </c>
    </row>
    <row r="21" customFormat="false" ht="15" hidden="false" customHeight="false" outlineLevel="0" collapsed="false">
      <c r="C21" s="146" t="n">
        <v>8</v>
      </c>
      <c r="D21" s="147"/>
      <c r="E21" s="147"/>
      <c r="F21" s="99" t="s">
        <v>395</v>
      </c>
      <c r="G21" s="109" t="n">
        <v>0.15</v>
      </c>
      <c r="H21" s="109" t="n">
        <v>0.6</v>
      </c>
      <c r="I21" s="109" t="n">
        <v>0.9</v>
      </c>
      <c r="J21" s="109" t="n">
        <v>0.15</v>
      </c>
      <c r="K21" s="109" t="n">
        <v>0.7</v>
      </c>
      <c r="L21" s="109" t="n">
        <v>1</v>
      </c>
      <c r="M21" s="145" t="n">
        <v>0.6</v>
      </c>
    </row>
    <row r="22" customFormat="false" ht="15" hidden="false" customHeight="false" outlineLevel="0" collapsed="false">
      <c r="C22" s="146" t="n">
        <v>9</v>
      </c>
      <c r="D22" s="147"/>
      <c r="E22" s="147"/>
      <c r="F22" s="99" t="s">
        <v>189</v>
      </c>
      <c r="G22" s="109" t="n">
        <v>0.07</v>
      </c>
      <c r="H22" s="109" t="n">
        <v>0.3</v>
      </c>
      <c r="I22" s="109" t="n">
        <v>0.7</v>
      </c>
      <c r="J22" s="109" t="n">
        <v>0.07</v>
      </c>
      <c r="K22" s="109" t="n">
        <v>0.5</v>
      </c>
      <c r="L22" s="109" t="n">
        <v>0.9</v>
      </c>
      <c r="M22" s="145" t="n">
        <v>0.2</v>
      </c>
    </row>
    <row r="23" customFormat="false" ht="15" hidden="false" customHeight="false" outlineLevel="0" collapsed="false">
      <c r="C23" s="146" t="n">
        <v>10</v>
      </c>
      <c r="D23" s="147"/>
      <c r="E23" s="147"/>
      <c r="F23" s="142" t="s">
        <v>392</v>
      </c>
      <c r="G23" s="109" t="n">
        <v>0.01</v>
      </c>
      <c r="H23" s="109" t="n">
        <v>0.15</v>
      </c>
      <c r="I23" s="109" t="n">
        <v>0.25</v>
      </c>
      <c r="J23" s="109" t="n">
        <v>0.01</v>
      </c>
      <c r="K23" s="109" t="n">
        <v>0.25</v>
      </c>
      <c r="L23" s="109" t="n">
        <v>0.7</v>
      </c>
      <c r="M23" s="145" t="n">
        <v>0.02</v>
      </c>
    </row>
    <row r="24" customFormat="false" ht="15" hidden="false" customHeight="false" outlineLevel="0" collapsed="false">
      <c r="C24" s="148" t="n">
        <v>11</v>
      </c>
      <c r="D24" s="147"/>
      <c r="E24" s="147"/>
      <c r="F24" s="89" t="s">
        <v>390</v>
      </c>
      <c r="G24" s="149" t="n">
        <v>0</v>
      </c>
      <c r="H24" s="149"/>
      <c r="I24" s="149"/>
      <c r="J24" s="149"/>
      <c r="K24" s="149"/>
      <c r="L24" s="149"/>
      <c r="M24" s="149"/>
    </row>
    <row r="29" customFormat="false" ht="15" hidden="false" customHeight="false" outlineLevel="0" collapsed="false">
      <c r="D29" s="100"/>
      <c r="E29" s="100"/>
    </row>
    <row r="30" customFormat="false" ht="15" hidden="false" customHeight="false" outlineLevel="0" collapsed="false">
      <c r="D30" s="95"/>
      <c r="E30" s="95"/>
      <c r="F30" s="95"/>
      <c r="G30" s="95"/>
    </row>
    <row r="31" customFormat="false" ht="15" hidden="false" customHeight="false" outlineLevel="0" collapsed="false">
      <c r="D31" s="95"/>
      <c r="E31" s="95"/>
    </row>
    <row r="32" customFormat="false" ht="15" hidden="false" customHeight="false" outlineLevel="0" collapsed="false">
      <c r="D32" s="95"/>
      <c r="E32" s="95"/>
      <c r="F32" s="95"/>
      <c r="G32" s="95"/>
    </row>
    <row r="33" customFormat="false" ht="15" hidden="false" customHeight="false" outlineLevel="0" collapsed="false">
      <c r="D33" s="95"/>
    </row>
    <row r="34" customFormat="false" ht="15" hidden="false" customHeight="false" outlineLevel="0" collapsed="false">
      <c r="D34" s="95"/>
    </row>
    <row r="35" customFormat="false" ht="15" hidden="false" customHeight="false" outlineLevel="0" collapsed="false">
      <c r="D35" s="95"/>
    </row>
    <row r="36" customFormat="false" ht="15" hidden="false" customHeight="false" outlineLevel="0" collapsed="false">
      <c r="D36" s="95"/>
    </row>
    <row r="40" customFormat="false" ht="15" hidden="false" customHeight="false" outlineLevel="0" collapsed="false">
      <c r="E40" s="102"/>
    </row>
  </sheetData>
  <mergeCells count="18">
    <mergeCell ref="D5:E5"/>
    <mergeCell ref="C8:M8"/>
    <mergeCell ref="D9:E9"/>
    <mergeCell ref="D10:E10"/>
    <mergeCell ref="C12:C13"/>
    <mergeCell ref="D12:D13"/>
    <mergeCell ref="E12:E13"/>
    <mergeCell ref="F12:F13"/>
    <mergeCell ref="G12:I12"/>
    <mergeCell ref="J12:L12"/>
    <mergeCell ref="F14:F16"/>
    <mergeCell ref="G14:M16"/>
    <mergeCell ref="F17:F19"/>
    <mergeCell ref="G17:M19"/>
    <mergeCell ref="D20:D24"/>
    <mergeCell ref="E20:E24"/>
    <mergeCell ref="G24:M24"/>
    <mergeCell ref="D29:E29"/>
  </mergeCells>
  <hyperlinks>
    <hyperlink ref="O1" location="'Rating Algorithm'!A20" display="Rating Algorithm'!A2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C3: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4375" defaultRowHeight="15" zeroHeight="false" outlineLevelRow="0" outlineLevelCol="0"/>
  <cols>
    <col min="3" max="3" customWidth="true" hidden="false" style="0" width="20.66" collapsed="false" outlineLevel="0"/>
    <col min="4" max="4" customWidth="true" hidden="false" style="0" width="30.56" collapsed="false" outlineLevel="0"/>
    <col min="5" max="5" customWidth="true" hidden="false" style="0" width="19.34" collapsed="false" outlineLevel="0"/>
  </cols>
  <sheetData>
    <row r="3" customFormat="false" ht="20.25" hidden="false" customHeight="false" outlineLevel="0" collapsed="false">
      <c r="C3" s="4" t="s">
        <v>441</v>
      </c>
    </row>
    <row r="5" customFormat="false" ht="15" hidden="false" customHeight="true" outlineLevel="0" collapsed="false">
      <c r="C5" s="42" t="s">
        <v>442</v>
      </c>
      <c r="D5" s="42"/>
      <c r="E5" s="42"/>
    </row>
    <row r="6" customFormat="false" ht="15" hidden="false" customHeight="false" outlineLevel="0" collapsed="false">
      <c r="C6" s="43" t="s">
        <v>182</v>
      </c>
      <c r="D6" s="44" t="s">
        <v>414</v>
      </c>
      <c r="E6" s="45" t="s">
        <v>198</v>
      </c>
    </row>
    <row r="7" customFormat="false" ht="15" hidden="false" customHeight="false" outlineLevel="0" collapsed="false">
      <c r="C7" s="60" t="s">
        <v>185</v>
      </c>
      <c r="D7" s="47"/>
      <c r="E7" s="48"/>
    </row>
    <row r="8" customFormat="false" ht="15" hidden="false" customHeight="false" outlineLevel="0" collapsed="false">
      <c r="C8" s="49" t="s">
        <v>186</v>
      </c>
      <c r="D8" s="58" t="s">
        <v>187</v>
      </c>
      <c r="E8" s="51" t="s">
        <v>443</v>
      </c>
    </row>
    <row r="9" customFormat="false" ht="15" hidden="false" customHeight="false" outlineLevel="0" collapsed="false">
      <c r="C9" s="52" t="s">
        <v>188</v>
      </c>
      <c r="D9" s="150" t="s">
        <v>395</v>
      </c>
      <c r="E9" s="54" t="n">
        <v>1</v>
      </c>
    </row>
  </sheetData>
  <mergeCells count="1">
    <mergeCell ref="C5:E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8EB4E3"/>
    <pageSetUpPr fitToPage="false"/>
  </sheetPr>
  <dimension ref="B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9.09375" defaultRowHeight="15" zeroHeight="false" outlineLevelRow="0" outlineLevelCol="0"/>
  <cols>
    <col min="1" max="2" customWidth="false" hidden="false" style="95" width="9.11" collapsed="false" outlineLevel="0"/>
    <col min="3" max="3" customWidth="true" hidden="false" style="95" width="18.22" collapsed="false" outlineLevel="0"/>
    <col min="4" max="4" customWidth="true" hidden="false" style="95" width="13.56" collapsed="false" outlineLevel="0"/>
    <col min="5" max="5" customWidth="true" hidden="false" style="95" width="14.0" collapsed="false" outlineLevel="0"/>
    <col min="6" max="1024" customWidth="false" hidden="false" style="95" width="9.11" collapsed="false" outlineLevel="0"/>
  </cols>
  <sheetData>
    <row r="1" customFormat="false" ht="15" hidden="false" customHeight="false" outlineLevel="0" collapsed="false">
      <c r="F1" s="18" t="s">
        <v>444</v>
      </c>
    </row>
    <row r="2" customFormat="false" ht="20.25" hidden="false" customHeight="false" outlineLevel="0" collapsed="false">
      <c r="B2" s="4" t="s">
        <v>445</v>
      </c>
      <c r="C2" s="4"/>
      <c r="F2" s="14"/>
    </row>
    <row r="3" customFormat="false" ht="15" hidden="false" customHeight="false" outlineLevel="0" collapsed="false">
      <c r="F3" s="14"/>
    </row>
    <row r="4" customFormat="false" ht="47.25" hidden="false" customHeight="true" outlineLevel="0" collapsed="false">
      <c r="C4" s="5" t="s">
        <v>446</v>
      </c>
      <c r="D4" s="5"/>
      <c r="F4" s="14"/>
    </row>
    <row r="5" customFormat="false" ht="15" hidden="false" customHeight="false" outlineLevel="0" collapsed="false">
      <c r="F5" s="14"/>
    </row>
    <row r="7" customFormat="false" ht="17.25" hidden="false" customHeight="false" outlineLevel="0" collapsed="false">
      <c r="C7" s="151" t="s">
        <v>447</v>
      </c>
      <c r="D7" s="151"/>
      <c r="E7" s="151"/>
    </row>
    <row r="8" customFormat="false" ht="15" hidden="false" customHeight="false" outlineLevel="0" collapsed="false">
      <c r="C8" s="152" t="s">
        <v>448</v>
      </c>
      <c r="D8" s="153" t="s">
        <v>449</v>
      </c>
      <c r="E8" s="154" t="n">
        <v>5000</v>
      </c>
    </row>
  </sheetData>
  <mergeCells count="2">
    <mergeCell ref="C4:D4"/>
    <mergeCell ref="C7:E7"/>
  </mergeCells>
  <hyperlinks>
    <hyperlink ref="F1" location="'Rating Algorithm'!A21" display="Rating Algorithm'!A2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D7E4BD"/>
    <pageSetUpPr fitToPage="false"/>
  </sheetPr>
  <dimension ref="B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8" activeCellId="0" sqref="D18"/>
    </sheetView>
  </sheetViews>
  <sheetFormatPr defaultColWidth="8.734375" defaultRowHeight="15" zeroHeight="false" outlineLevelRow="0" outlineLevelCol="0"/>
  <cols>
    <col min="3" max="3" customWidth="true" hidden="false" style="0" width="28.44" collapsed="false" outlineLevel="0"/>
    <col min="4" max="4" customWidth="true" hidden="false" style="0" width="76.22" collapsed="false" outlineLevel="0"/>
  </cols>
  <sheetData>
    <row r="1" customFormat="false" ht="15" hidden="false" customHeight="false" outlineLevel="0" collapsed="false">
      <c r="E1" s="18" t="s">
        <v>450</v>
      </c>
    </row>
    <row r="2" customFormat="false" ht="20.25" hidden="false" customHeight="false" outlineLevel="0" collapsed="false">
      <c r="B2" s="4" t="s">
        <v>451</v>
      </c>
      <c r="C2" s="4"/>
      <c r="E2" s="14"/>
    </row>
    <row r="4" customFormat="false" ht="18" hidden="false" customHeight="false" outlineLevel="0" collapsed="false">
      <c r="C4" s="71" t="s">
        <v>452</v>
      </c>
      <c r="D4" s="71"/>
    </row>
    <row r="5" customFormat="false" ht="18" hidden="false" customHeight="false" outlineLevel="0" collapsed="false">
      <c r="C5" s="97" t="s">
        <v>7</v>
      </c>
      <c r="D5" s="155" t="s">
        <v>453</v>
      </c>
    </row>
    <row r="6" customFormat="false" ht="15" hidden="false" customHeight="false" outlineLevel="0" collapsed="false">
      <c r="C6" s="156" t="s">
        <v>454</v>
      </c>
      <c r="D6" s="157" t="s">
        <v>455</v>
      </c>
    </row>
    <row r="7" customFormat="false" ht="15" hidden="false" customHeight="false" outlineLevel="0" collapsed="false">
      <c r="C7" s="158" t="s">
        <v>456</v>
      </c>
      <c r="D7" s="159" t="s">
        <v>457</v>
      </c>
    </row>
    <row r="8" customFormat="false" ht="15" hidden="false" customHeight="false" outlineLevel="0" collapsed="false">
      <c r="C8" s="158" t="s">
        <v>458</v>
      </c>
      <c r="D8" s="159" t="s">
        <v>459</v>
      </c>
    </row>
    <row r="9" customFormat="false" ht="15" hidden="false" customHeight="false" outlineLevel="0" collapsed="false">
      <c r="C9" s="158" t="s">
        <v>460</v>
      </c>
      <c r="D9" s="159" t="s">
        <v>461</v>
      </c>
    </row>
    <row r="10" customFormat="false" ht="15" hidden="false" customHeight="false" outlineLevel="0" collapsed="false">
      <c r="C10" s="158" t="s">
        <v>462</v>
      </c>
      <c r="D10" s="159" t="s">
        <v>463</v>
      </c>
    </row>
    <row r="11" customFormat="false" ht="15" hidden="false" customHeight="false" outlineLevel="0" collapsed="false">
      <c r="C11" s="158" t="s">
        <v>464</v>
      </c>
      <c r="D11" s="159" t="s">
        <v>465</v>
      </c>
    </row>
    <row r="12" customFormat="false" ht="15" hidden="false" customHeight="false" outlineLevel="0" collapsed="false">
      <c r="C12" s="158" t="s">
        <v>466</v>
      </c>
      <c r="D12" s="159" t="s">
        <v>467</v>
      </c>
    </row>
    <row r="13" customFormat="false" ht="15" hidden="false" customHeight="false" outlineLevel="0" collapsed="false">
      <c r="C13" s="158" t="s">
        <v>468</v>
      </c>
      <c r="D13" s="159" t="s">
        <v>469</v>
      </c>
    </row>
    <row r="14" customFormat="false" ht="15" hidden="false" customHeight="false" outlineLevel="0" collapsed="false">
      <c r="C14" s="160" t="s">
        <v>470</v>
      </c>
      <c r="D14" s="161" t="s">
        <v>471</v>
      </c>
    </row>
    <row r="15" customFormat="false" ht="56.25" hidden="false" customHeight="true" outlineLevel="0" collapsed="false">
      <c r="C15" s="162" t="s">
        <v>472</v>
      </c>
      <c r="D15" s="163" t="s">
        <v>473</v>
      </c>
    </row>
    <row r="17" customFormat="false" ht="18" hidden="false" customHeight="false" outlineLevel="0" collapsed="false">
      <c r="C17" s="164" t="s">
        <v>474</v>
      </c>
      <c r="D17" s="164"/>
    </row>
    <row r="18" customFormat="false" ht="18" hidden="false" customHeight="false" outlineLevel="0" collapsed="false">
      <c r="C18" s="165" t="b">
        <f aca="false">TRUE()</f>
        <v>1</v>
      </c>
      <c r="D18" s="155" t="s">
        <v>472</v>
      </c>
    </row>
    <row r="19" customFormat="false" ht="15" hidden="false" customHeight="false" outlineLevel="0" collapsed="false">
      <c r="C19" s="158" t="s">
        <v>475</v>
      </c>
      <c r="D19" s="166" t="s">
        <v>476</v>
      </c>
    </row>
    <row r="20" customFormat="false" ht="15" hidden="false" customHeight="false" outlineLevel="0" collapsed="false">
      <c r="C20" s="160"/>
      <c r="D20" s="167" t="s">
        <v>477</v>
      </c>
    </row>
    <row r="21" customFormat="false" ht="15" hidden="false" customHeight="false" outlineLevel="0" collapsed="false">
      <c r="C21" s="95"/>
      <c r="E21" s="95"/>
    </row>
  </sheetData>
  <mergeCells count="2">
    <mergeCell ref="C4:D4"/>
    <mergeCell ref="C17:D17"/>
  </mergeCells>
  <hyperlinks>
    <hyperlink ref="E1" location="'Rating Algorithm'!A12" display="Rating Algorithm'!A1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C3:D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7" activeCellId="0" sqref="D7"/>
    </sheetView>
  </sheetViews>
  <sheetFormatPr defaultColWidth="8.734375" defaultRowHeight="15" zeroHeight="false" outlineLevelRow="0" outlineLevelCol="0"/>
  <cols>
    <col min="3" max="3" customWidth="true" hidden="false" style="0" width="20.44" collapsed="false" outlineLevel="0"/>
    <col min="4" max="4" customWidth="true" hidden="false" style="0" width="26.11" collapsed="false" outlineLevel="0"/>
  </cols>
  <sheetData>
    <row r="3" customFormat="false" ht="20.25" hidden="false" customHeight="false" outlineLevel="0" collapsed="false">
      <c r="C3" s="4" t="s">
        <v>478</v>
      </c>
      <c r="D3" s="4"/>
    </row>
    <row r="6" customFormat="false" ht="15" hidden="false" customHeight="true" outlineLevel="0" collapsed="false">
      <c r="C6" s="72" t="s">
        <v>479</v>
      </c>
      <c r="D6" s="72"/>
    </row>
    <row r="7" customFormat="false" ht="15" hidden="false" customHeight="false" outlineLevel="0" collapsed="false">
      <c r="C7" s="43" t="s">
        <v>480</v>
      </c>
      <c r="D7" s="45" t="s">
        <v>481</v>
      </c>
    </row>
    <row r="8" customFormat="false" ht="15" hidden="false" customHeight="false" outlineLevel="0" collapsed="false">
      <c r="C8" s="46" t="s">
        <v>193</v>
      </c>
      <c r="D8" s="48"/>
    </row>
    <row r="9" customFormat="false" ht="15" hidden="false" customHeight="false" outlineLevel="0" collapsed="false">
      <c r="C9" s="49" t="s">
        <v>482</v>
      </c>
      <c r="D9" s="51" t="s">
        <v>483</v>
      </c>
    </row>
    <row r="10" customFormat="false" ht="15" hidden="false" customHeight="false" outlineLevel="0" collapsed="false">
      <c r="C10" s="52" t="n">
        <v>2009</v>
      </c>
      <c r="D10" s="93" t="s">
        <v>476</v>
      </c>
    </row>
    <row r="13" customFormat="false" ht="15" hidden="false" customHeight="false" outlineLevel="0" collapsed="false">
      <c r="C13" s="95" t="s">
        <v>484</v>
      </c>
    </row>
  </sheetData>
  <mergeCells count="1">
    <mergeCell ref="C6:D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EECE1"/>
    <pageSetUpPr fitToPage="false"/>
  </sheetPr>
  <dimension ref="B2: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9375" defaultRowHeight="15" zeroHeight="false" outlineLevelRow="0" outlineLevelCol="0"/>
  <cols>
    <col min="1" max="2" customWidth="false" hidden="false" style="95" width="9.11" collapsed="false" outlineLevel="0"/>
    <col min="3" max="3" customWidth="true" hidden="false" style="95" width="17.67" collapsed="false" outlineLevel="0"/>
    <col min="4" max="4" customWidth="true" hidden="false" style="95" width="39.11" collapsed="false" outlineLevel="0"/>
    <col min="5" max="1024" customWidth="false" hidden="false" style="95" width="9.11" collapsed="false" outlineLevel="0"/>
  </cols>
  <sheetData>
    <row r="2" customFormat="false" ht="20.25" hidden="false" customHeight="false" outlineLevel="0" collapsed="false">
      <c r="B2" s="4" t="s">
        <v>485</v>
      </c>
      <c r="C2" s="4"/>
    </row>
    <row r="5" customFormat="false" ht="17.25" hidden="false" customHeight="false" outlineLevel="0" collapsed="false">
      <c r="C5" s="168" t="s">
        <v>486</v>
      </c>
      <c r="D5" s="168"/>
      <c r="E5" s="168"/>
    </row>
    <row r="6" customFormat="false" ht="15" hidden="false" customHeight="false" outlineLevel="0" collapsed="false">
      <c r="C6" s="169" t="s">
        <v>487</v>
      </c>
      <c r="D6" s="170" t="s">
        <v>488</v>
      </c>
      <c r="E6" s="171"/>
    </row>
    <row r="7" customFormat="false" ht="15" hidden="false" customHeight="false" outlineLevel="0" collapsed="false">
      <c r="C7" s="172" t="s">
        <v>487</v>
      </c>
      <c r="D7" s="173" t="s">
        <v>489</v>
      </c>
      <c r="E7" s="174"/>
    </row>
    <row r="8" customFormat="false" ht="15" hidden="false" customHeight="false" outlineLevel="0" collapsed="false">
      <c r="C8" s="172" t="s">
        <v>490</v>
      </c>
      <c r="D8" s="173" t="s">
        <v>353</v>
      </c>
      <c r="E8" s="174" t="s">
        <v>343</v>
      </c>
    </row>
    <row r="9" customFormat="false" ht="15" hidden="false" customHeight="false" outlineLevel="0" collapsed="false">
      <c r="C9" s="175" t="s">
        <v>491</v>
      </c>
      <c r="D9" s="173" t="s">
        <v>492</v>
      </c>
      <c r="E9" s="176"/>
    </row>
    <row r="10" customFormat="false" ht="15" hidden="false" customHeight="false" outlineLevel="0" collapsed="false">
      <c r="C10" s="175" t="s">
        <v>493</v>
      </c>
      <c r="D10" s="173" t="s">
        <v>191</v>
      </c>
      <c r="E10" s="176"/>
    </row>
    <row r="11" customFormat="false" ht="15" hidden="false" customHeight="false" outlineLevel="0" collapsed="false">
      <c r="C11" s="175" t="s">
        <v>493</v>
      </c>
      <c r="D11" s="173" t="s">
        <v>494</v>
      </c>
      <c r="E11" s="176"/>
    </row>
    <row r="12" customFormat="false" ht="15" hidden="false" customHeight="false" outlineLevel="0" collapsed="false">
      <c r="C12" s="177" t="s">
        <v>495</v>
      </c>
      <c r="D12" s="178" t="s">
        <v>496</v>
      </c>
      <c r="E12" s="179"/>
    </row>
    <row r="15" customFormat="false" ht="17.25" hidden="false" customHeight="false" outlineLevel="0" collapsed="false">
      <c r="C15" s="168" t="s">
        <v>497</v>
      </c>
      <c r="D15" s="168"/>
      <c r="E15" s="168"/>
    </row>
    <row r="16" customFormat="false" ht="15" hidden="false" customHeight="false" outlineLevel="0" collapsed="false">
      <c r="C16" s="180" t="s">
        <v>498</v>
      </c>
      <c r="D16" s="173" t="s">
        <v>499</v>
      </c>
      <c r="E16" s="174"/>
    </row>
    <row r="17" customFormat="false" ht="15" hidden="false" customHeight="false" outlineLevel="0" collapsed="false">
      <c r="C17" s="172" t="s">
        <v>448</v>
      </c>
      <c r="D17" s="181" t="s">
        <v>500</v>
      </c>
      <c r="E17" s="174" t="n">
        <v>0.0001</v>
      </c>
    </row>
    <row r="18" customFormat="false" ht="15" hidden="false" customHeight="false" outlineLevel="0" collapsed="false">
      <c r="C18" s="172" t="s">
        <v>448</v>
      </c>
      <c r="D18" s="181" t="s">
        <v>501</v>
      </c>
      <c r="E18" s="174" t="n">
        <v>0.0001</v>
      </c>
    </row>
    <row r="19" customFormat="false" ht="15" hidden="false" customHeight="false" outlineLevel="0" collapsed="false">
      <c r="C19" s="172" t="s">
        <v>448</v>
      </c>
      <c r="D19" s="181" t="s">
        <v>502</v>
      </c>
      <c r="E19" s="174" t="n">
        <v>0.0001</v>
      </c>
    </row>
    <row r="20" customFormat="false" ht="15" hidden="false" customHeight="false" outlineLevel="0" collapsed="false">
      <c r="C20" s="172" t="s">
        <v>448</v>
      </c>
      <c r="D20" s="181" t="s">
        <v>503</v>
      </c>
      <c r="E20" s="174" t="n">
        <v>0</v>
      </c>
    </row>
    <row r="21" customFormat="false" ht="15" hidden="false" customHeight="false" outlineLevel="0" collapsed="false">
      <c r="C21" s="172" t="s">
        <v>448</v>
      </c>
      <c r="D21" s="181" t="s">
        <v>504</v>
      </c>
      <c r="E21" s="174" t="n">
        <v>0</v>
      </c>
    </row>
    <row r="22" customFormat="false" ht="15" hidden="false" customHeight="false" outlineLevel="0" collapsed="false">
      <c r="C22" s="172" t="s">
        <v>448</v>
      </c>
      <c r="D22" s="181" t="s">
        <v>505</v>
      </c>
      <c r="E22" s="174" t="n">
        <v>0.0001</v>
      </c>
    </row>
    <row r="23" customFormat="false" ht="15" hidden="false" customHeight="false" outlineLevel="0" collapsed="false">
      <c r="C23" s="172" t="s">
        <v>448</v>
      </c>
      <c r="D23" s="181" t="s">
        <v>506</v>
      </c>
      <c r="E23" s="174" t="n">
        <v>0</v>
      </c>
    </row>
    <row r="24" customFormat="false" ht="15" hidden="false" customHeight="false" outlineLevel="0" collapsed="false">
      <c r="C24" s="172" t="s">
        <v>448</v>
      </c>
      <c r="D24" s="181" t="s">
        <v>507</v>
      </c>
      <c r="E24" s="174" t="n">
        <v>0</v>
      </c>
    </row>
    <row r="25" customFormat="false" ht="15" hidden="false" customHeight="false" outlineLevel="0" collapsed="false">
      <c r="C25" s="172" t="s">
        <v>448</v>
      </c>
      <c r="D25" s="181" t="s">
        <v>508</v>
      </c>
      <c r="E25" s="174" t="n">
        <v>0.0001</v>
      </c>
    </row>
    <row r="26" customFormat="false" ht="15" hidden="false" customHeight="false" outlineLevel="0" collapsed="false">
      <c r="C26" s="172" t="s">
        <v>448</v>
      </c>
      <c r="D26" s="181" t="s">
        <v>381</v>
      </c>
      <c r="E26" s="174" t="n">
        <v>0</v>
      </c>
    </row>
    <row r="27" customFormat="false" ht="15" hidden="false" customHeight="false" outlineLevel="0" collapsed="false">
      <c r="C27" s="172" t="s">
        <v>448</v>
      </c>
      <c r="D27" s="181" t="s">
        <v>509</v>
      </c>
      <c r="E27" s="174" t="n">
        <v>0.0001</v>
      </c>
    </row>
    <row r="28" customFormat="false" ht="15" hidden="false" customHeight="false" outlineLevel="0" collapsed="false">
      <c r="C28" s="172" t="s">
        <v>448</v>
      </c>
      <c r="D28" s="181" t="s">
        <v>510</v>
      </c>
      <c r="E28" s="174" t="n">
        <v>0</v>
      </c>
    </row>
    <row r="29" customFormat="false" ht="15" hidden="false" customHeight="false" outlineLevel="0" collapsed="false">
      <c r="C29" s="172" t="s">
        <v>448</v>
      </c>
      <c r="D29" s="181" t="s">
        <v>511</v>
      </c>
      <c r="E29" s="174" t="n">
        <v>0.0001</v>
      </c>
    </row>
    <row r="30" customFormat="false" ht="15" hidden="false" customHeight="false" outlineLevel="0" collapsed="false">
      <c r="C30" s="172" t="s">
        <v>448</v>
      </c>
      <c r="D30" s="181" t="s">
        <v>512</v>
      </c>
      <c r="E30" s="174" t="n">
        <v>0.0001</v>
      </c>
    </row>
    <row r="31" customFormat="false" ht="15" hidden="false" customHeight="false" outlineLevel="0" collapsed="false">
      <c r="C31" s="172" t="s">
        <v>448</v>
      </c>
      <c r="D31" s="181" t="s">
        <v>513</v>
      </c>
      <c r="E31" s="174" t="n">
        <v>0</v>
      </c>
    </row>
    <row r="32" customFormat="false" ht="15" hidden="false" customHeight="false" outlineLevel="0" collapsed="false">
      <c r="C32" s="177" t="s">
        <v>448</v>
      </c>
      <c r="D32" s="182" t="s">
        <v>514</v>
      </c>
      <c r="E32" s="179" t="n">
        <v>0.0001</v>
      </c>
    </row>
    <row r="35" customFormat="false" ht="17.25" hidden="false" customHeight="false" outlineLevel="0" collapsed="false">
      <c r="C35" s="168" t="s">
        <v>515</v>
      </c>
      <c r="D35" s="168"/>
      <c r="E35" s="168"/>
    </row>
    <row r="36" customFormat="false" ht="15" hidden="false" customHeight="false" outlineLevel="0" collapsed="false">
      <c r="C36" s="180" t="s">
        <v>498</v>
      </c>
      <c r="D36" s="173" t="s">
        <v>499</v>
      </c>
      <c r="E36" s="174"/>
    </row>
    <row r="37" customFormat="false" ht="15" hidden="false" customHeight="false" outlineLevel="0" collapsed="false">
      <c r="C37" s="172" t="s">
        <v>516</v>
      </c>
      <c r="D37" s="181" t="s">
        <v>350</v>
      </c>
      <c r="E37" s="174" t="s">
        <v>325</v>
      </c>
    </row>
    <row r="38" customFormat="false" ht="15" hidden="false" customHeight="false" outlineLevel="0" collapsed="false">
      <c r="C38" s="172" t="s">
        <v>516</v>
      </c>
      <c r="D38" s="181" t="s">
        <v>517</v>
      </c>
      <c r="E38" s="174" t="s">
        <v>325</v>
      </c>
    </row>
    <row r="39" customFormat="false" ht="15" hidden="false" customHeight="false" outlineLevel="0" collapsed="false">
      <c r="C39" s="172" t="s">
        <v>516</v>
      </c>
      <c r="D39" s="181" t="s">
        <v>518</v>
      </c>
      <c r="E39" s="174" t="s">
        <v>325</v>
      </c>
    </row>
    <row r="40" customFormat="false" ht="15" hidden="false" customHeight="false" outlineLevel="0" collapsed="false">
      <c r="C40" s="172" t="s">
        <v>516</v>
      </c>
      <c r="D40" s="181" t="s">
        <v>519</v>
      </c>
      <c r="E40" s="174" t="s">
        <v>325</v>
      </c>
    </row>
    <row r="41" customFormat="false" ht="15" hidden="false" customHeight="false" outlineLevel="0" collapsed="false">
      <c r="C41" s="172" t="s">
        <v>516</v>
      </c>
      <c r="D41" s="181" t="s">
        <v>520</v>
      </c>
      <c r="E41" s="174" t="s">
        <v>325</v>
      </c>
    </row>
    <row r="42" customFormat="false" ht="15" hidden="false" customHeight="false" outlineLevel="0" collapsed="false">
      <c r="C42" s="172" t="s">
        <v>516</v>
      </c>
      <c r="D42" s="181" t="s">
        <v>521</v>
      </c>
      <c r="E42" s="174" t="s">
        <v>324</v>
      </c>
    </row>
    <row r="43" customFormat="false" ht="15" hidden="false" customHeight="false" outlineLevel="0" collapsed="false">
      <c r="C43" s="172" t="s">
        <v>516</v>
      </c>
      <c r="D43" s="181" t="s">
        <v>522</v>
      </c>
      <c r="E43" s="174" t="s">
        <v>324</v>
      </c>
    </row>
    <row r="44" customFormat="false" ht="15" hidden="false" customHeight="false" outlineLevel="0" collapsed="false">
      <c r="C44" s="177" t="s">
        <v>516</v>
      </c>
      <c r="D44" s="182" t="s">
        <v>376</v>
      </c>
      <c r="E44" s="179" t="s">
        <v>324</v>
      </c>
    </row>
    <row r="47" customFormat="false" ht="17.25" hidden="false" customHeight="false" outlineLevel="0" collapsed="false">
      <c r="C47" s="168" t="s">
        <v>523</v>
      </c>
      <c r="D47" s="168"/>
    </row>
    <row r="48" customFormat="false" ht="15" hidden="false" customHeight="false" outlineLevel="0" collapsed="false">
      <c r="C48" s="169" t="s">
        <v>524</v>
      </c>
      <c r="D48" s="170" t="s">
        <v>525</v>
      </c>
    </row>
    <row r="49" customFormat="false" ht="15" hidden="false" customHeight="false" outlineLevel="0" collapsed="false">
      <c r="C49" s="177" t="s">
        <v>487</v>
      </c>
      <c r="D49" s="182" t="s">
        <v>526</v>
      </c>
    </row>
  </sheetData>
  <mergeCells count="4">
    <mergeCell ref="C5:E5"/>
    <mergeCell ref="C15:E15"/>
    <mergeCell ref="C35:E35"/>
    <mergeCell ref="C47:D4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6D9F1"/>
    <pageSetUpPr fitToPage="true"/>
  </sheetPr>
  <dimension ref="B3:D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9375" defaultRowHeight="15" zeroHeight="false" outlineLevelRow="0" outlineLevelCol="0"/>
  <cols>
    <col min="1" max="3" customWidth="false" hidden="false" style="95" width="9.11" collapsed="false" outlineLevel="0"/>
    <col min="4" max="4" customWidth="true" hidden="false" style="95" width="34.44" collapsed="false" outlineLevel="0"/>
    <col min="5" max="5" customWidth="true" hidden="false" style="95" width="29.99" collapsed="false" outlineLevel="0"/>
    <col min="6" max="1024" customWidth="false" hidden="false" style="95" width="9.11" collapsed="false" outlineLevel="0"/>
  </cols>
  <sheetData>
    <row r="3" customFormat="false" ht="20.25" hidden="false" customHeight="false" outlineLevel="0" collapsed="false">
      <c r="B3" s="4" t="s">
        <v>527</v>
      </c>
      <c r="C3" s="4"/>
      <c r="D3" s="4"/>
    </row>
    <row r="6" customFormat="false" ht="17.25" hidden="false" customHeight="false" outlineLevel="0" collapsed="false">
      <c r="D6" s="168" t="s">
        <v>528</v>
      </c>
    </row>
    <row r="7" customFormat="false" ht="15" hidden="false" customHeight="false" outlineLevel="0" collapsed="false">
      <c r="D7" s="174" t="s">
        <v>433</v>
      </c>
    </row>
    <row r="8" customFormat="false" ht="15" hidden="false" customHeight="false" outlineLevel="0" collapsed="false">
      <c r="D8" s="174" t="s">
        <v>435</v>
      </c>
    </row>
    <row r="9" customFormat="false" ht="15" hidden="false" customHeight="false" outlineLevel="0" collapsed="false">
      <c r="D9" s="179" t="s">
        <v>437</v>
      </c>
    </row>
    <row r="12" customFormat="false" ht="17.25" hidden="false" customHeight="false" outlineLevel="0" collapsed="false">
      <c r="D12" s="168" t="s">
        <v>529</v>
      </c>
    </row>
    <row r="13" customFormat="false" ht="15" hidden="false" customHeight="false" outlineLevel="0" collapsed="false">
      <c r="D13" s="174" t="s">
        <v>530</v>
      </c>
    </row>
    <row r="14" customFormat="false" ht="15" hidden="false" customHeight="false" outlineLevel="0" collapsed="false">
      <c r="D14" s="174" t="s">
        <v>531</v>
      </c>
    </row>
    <row r="15" customFormat="false" ht="15" hidden="false" customHeight="false" outlineLevel="0" collapsed="false">
      <c r="D15" s="174" t="s">
        <v>532</v>
      </c>
    </row>
    <row r="16" customFormat="false" ht="15" hidden="false" customHeight="false" outlineLevel="0" collapsed="false">
      <c r="D16" s="174" t="s">
        <v>533</v>
      </c>
    </row>
    <row r="17" customFormat="false" ht="15" hidden="false" customHeight="false" outlineLevel="0" collapsed="false">
      <c r="D17" s="174" t="s">
        <v>534</v>
      </c>
    </row>
    <row r="18" customFormat="false" ht="15" hidden="false" customHeight="false" outlineLevel="0" collapsed="false">
      <c r="D18" s="174" t="s">
        <v>535</v>
      </c>
    </row>
    <row r="19" customFormat="false" ht="15" hidden="false" customHeight="false" outlineLevel="0" collapsed="false">
      <c r="D19" s="174" t="s">
        <v>536</v>
      </c>
    </row>
    <row r="20" customFormat="false" ht="15" hidden="false" customHeight="false" outlineLevel="0" collapsed="false">
      <c r="D20" s="174" t="s">
        <v>537</v>
      </c>
    </row>
    <row r="21" customFormat="false" ht="15" hidden="false" customHeight="false" outlineLevel="0" collapsed="false">
      <c r="D21" s="174" t="s">
        <v>538</v>
      </c>
    </row>
    <row r="22" customFormat="false" ht="15" hidden="false" customHeight="false" outlineLevel="0" collapsed="false">
      <c r="D22" s="174" t="s">
        <v>539</v>
      </c>
    </row>
    <row r="23" customFormat="false" ht="15" hidden="false" customHeight="false" outlineLevel="0" collapsed="false">
      <c r="D23" s="174" t="s">
        <v>540</v>
      </c>
    </row>
    <row r="24" customFormat="false" ht="15" hidden="false" customHeight="false" outlineLevel="0" collapsed="false">
      <c r="D24" s="174" t="s">
        <v>541</v>
      </c>
    </row>
    <row r="25" customFormat="false" ht="15" hidden="false" customHeight="false" outlineLevel="0" collapsed="false">
      <c r="D25" s="174" t="s">
        <v>542</v>
      </c>
    </row>
    <row r="26" customFormat="false" ht="15" hidden="false" customHeight="false" outlineLevel="0" collapsed="false">
      <c r="D26" s="174" t="s">
        <v>543</v>
      </c>
    </row>
    <row r="27" customFormat="false" ht="15" hidden="false" customHeight="false" outlineLevel="0" collapsed="false">
      <c r="D27" s="174" t="s">
        <v>544</v>
      </c>
    </row>
    <row r="28" customFormat="false" ht="15" hidden="false" customHeight="false" outlineLevel="0" collapsed="false">
      <c r="D28" s="174" t="s">
        <v>545</v>
      </c>
    </row>
    <row r="29" customFormat="false" ht="15" hidden="false" customHeight="false" outlineLevel="0" collapsed="false">
      <c r="D29" s="174" t="s">
        <v>546</v>
      </c>
    </row>
    <row r="30" customFormat="false" ht="15" hidden="false" customHeight="false" outlineLevel="0" collapsed="false">
      <c r="D30" s="174" t="s">
        <v>547</v>
      </c>
    </row>
    <row r="31" customFormat="false" ht="15" hidden="false" customHeight="false" outlineLevel="0" collapsed="false">
      <c r="D31" s="174" t="s">
        <v>548</v>
      </c>
    </row>
    <row r="32" customFormat="false" ht="15" hidden="false" customHeight="false" outlineLevel="0" collapsed="false">
      <c r="D32" s="174" t="s">
        <v>549</v>
      </c>
    </row>
    <row r="33" customFormat="false" ht="15" hidden="false" customHeight="false" outlineLevel="0" collapsed="false">
      <c r="D33" s="174" t="s">
        <v>550</v>
      </c>
    </row>
    <row r="34" customFormat="false" ht="15" hidden="false" customHeight="false" outlineLevel="0" collapsed="false">
      <c r="D34" s="174" t="s">
        <v>551</v>
      </c>
    </row>
    <row r="35" customFormat="false" ht="15" hidden="false" customHeight="false" outlineLevel="0" collapsed="false">
      <c r="D35" s="174" t="s">
        <v>552</v>
      </c>
    </row>
    <row r="36" customFormat="false" ht="15" hidden="false" customHeight="false" outlineLevel="0" collapsed="false">
      <c r="D36" s="174" t="s">
        <v>553</v>
      </c>
    </row>
    <row r="37" customFormat="false" ht="15" hidden="false" customHeight="false" outlineLevel="0" collapsed="false">
      <c r="D37" s="174" t="s">
        <v>554</v>
      </c>
    </row>
    <row r="38" customFormat="false" ht="15" hidden="false" customHeight="false" outlineLevel="0" collapsed="false">
      <c r="D38" s="174" t="s">
        <v>555</v>
      </c>
    </row>
    <row r="39" customFormat="false" ht="15" hidden="false" customHeight="false" outlineLevel="0" collapsed="false">
      <c r="D39" s="174" t="s">
        <v>556</v>
      </c>
    </row>
    <row r="40" customFormat="false" ht="15" hidden="false" customHeight="false" outlineLevel="0" collapsed="false">
      <c r="D40" s="174" t="s">
        <v>557</v>
      </c>
    </row>
    <row r="41" customFormat="false" ht="15" hidden="false" customHeight="false" outlineLevel="0" collapsed="false">
      <c r="D41" s="174" t="s">
        <v>558</v>
      </c>
    </row>
    <row r="42" customFormat="false" ht="15" hidden="false" customHeight="false" outlineLevel="0" collapsed="false">
      <c r="D42" s="174" t="s">
        <v>559</v>
      </c>
    </row>
    <row r="43" customFormat="false" ht="15" hidden="false" customHeight="false" outlineLevel="0" collapsed="false">
      <c r="D43" s="174" t="s">
        <v>560</v>
      </c>
    </row>
    <row r="44" customFormat="false" ht="15" hidden="false" customHeight="false" outlineLevel="0" collapsed="false">
      <c r="D44" s="174" t="s">
        <v>561</v>
      </c>
    </row>
    <row r="45" customFormat="false" ht="15" hidden="false" customHeight="false" outlineLevel="0" collapsed="false">
      <c r="D45" s="174" t="s">
        <v>562</v>
      </c>
    </row>
    <row r="46" customFormat="false" ht="15" hidden="false" customHeight="false" outlineLevel="0" collapsed="false">
      <c r="D46" s="174" t="s">
        <v>563</v>
      </c>
    </row>
    <row r="47" customFormat="false" ht="15" hidden="false" customHeight="false" outlineLevel="0" collapsed="false">
      <c r="D47" s="174" t="s">
        <v>564</v>
      </c>
    </row>
    <row r="48" customFormat="false" ht="15" hidden="false" customHeight="false" outlineLevel="0" collapsed="false">
      <c r="D48" s="174" t="s">
        <v>565</v>
      </c>
    </row>
    <row r="49" customFormat="false" ht="15" hidden="false" customHeight="false" outlineLevel="0" collapsed="false">
      <c r="D49" s="174" t="s">
        <v>566</v>
      </c>
    </row>
    <row r="50" customFormat="false" ht="15" hidden="false" customHeight="false" outlineLevel="0" collapsed="false">
      <c r="D50" s="174" t="s">
        <v>567</v>
      </c>
    </row>
    <row r="51" customFormat="false" ht="15" hidden="false" customHeight="false" outlineLevel="0" collapsed="false">
      <c r="D51" s="174" t="s">
        <v>568</v>
      </c>
    </row>
    <row r="52" customFormat="false" ht="15" hidden="false" customHeight="false" outlineLevel="0" collapsed="false">
      <c r="D52" s="174" t="s">
        <v>550</v>
      </c>
    </row>
    <row r="53" customFormat="false" ht="15" hidden="false" customHeight="false" outlineLevel="0" collapsed="false">
      <c r="D53" s="174" t="s">
        <v>569</v>
      </c>
    </row>
    <row r="54" customFormat="false" ht="15" hidden="false" customHeight="false" outlineLevel="0" collapsed="false">
      <c r="D54" s="174" t="s">
        <v>570</v>
      </c>
    </row>
    <row r="55" customFormat="false" ht="15" hidden="false" customHeight="false" outlineLevel="0" collapsed="false">
      <c r="D55" s="174" t="s">
        <v>571</v>
      </c>
    </row>
    <row r="56" customFormat="false" ht="15" hidden="false" customHeight="false" outlineLevel="0" collapsed="false">
      <c r="D56" s="179" t="s">
        <v>572</v>
      </c>
    </row>
    <row r="59" customFormat="false" ht="17.25" hidden="false" customHeight="false" outlineLevel="0" collapsed="false">
      <c r="D59" s="168" t="s">
        <v>573</v>
      </c>
    </row>
    <row r="60" customFormat="false" ht="15" hidden="false" customHeight="false" outlineLevel="0" collapsed="false">
      <c r="D60" s="174" t="s">
        <v>343</v>
      </c>
    </row>
    <row r="61" customFormat="false" ht="15" hidden="false" customHeight="false" outlineLevel="0" collapsed="false">
      <c r="D61" s="174" t="s">
        <v>574</v>
      </c>
    </row>
    <row r="62" customFormat="false" ht="15" hidden="false" customHeight="false" outlineLevel="0" collapsed="false">
      <c r="D62" s="174" t="s">
        <v>575</v>
      </c>
    </row>
    <row r="63" customFormat="false" ht="15" hidden="false" customHeight="false" outlineLevel="0" collapsed="false">
      <c r="D63" s="174" t="s">
        <v>576</v>
      </c>
    </row>
    <row r="64" customFormat="false" ht="15" hidden="false" customHeight="false" outlineLevel="0" collapsed="false">
      <c r="D64" s="174" t="s">
        <v>379</v>
      </c>
    </row>
    <row r="65" customFormat="false" ht="15" hidden="false" customHeight="false" outlineLevel="0" collapsed="false">
      <c r="D65" s="174" t="s">
        <v>577</v>
      </c>
    </row>
    <row r="66" customFormat="false" ht="15" hidden="false" customHeight="false" outlineLevel="0" collapsed="false">
      <c r="D66" s="174" t="s">
        <v>578</v>
      </c>
    </row>
    <row r="67" customFormat="false" ht="15" hidden="false" customHeight="false" outlineLevel="0" collapsed="false">
      <c r="D67" s="174" t="s">
        <v>356</v>
      </c>
    </row>
    <row r="68" customFormat="false" ht="15" hidden="false" customHeight="false" outlineLevel="0" collapsed="false">
      <c r="D68" s="174" t="s">
        <v>355</v>
      </c>
    </row>
    <row r="69" customFormat="false" ht="15" hidden="false" customHeight="false" outlineLevel="0" collapsed="false">
      <c r="D69" s="174" t="s">
        <v>579</v>
      </c>
    </row>
    <row r="70" customFormat="false" ht="15" hidden="false" customHeight="false" outlineLevel="0" collapsed="false">
      <c r="D70" s="174" t="s">
        <v>580</v>
      </c>
    </row>
    <row r="71" customFormat="false" ht="15" hidden="false" customHeight="false" outlineLevel="0" collapsed="false">
      <c r="D71" s="174" t="s">
        <v>581</v>
      </c>
    </row>
    <row r="72" customFormat="false" ht="15" hidden="false" customHeight="false" outlineLevel="0" collapsed="false">
      <c r="D72" s="174" t="s">
        <v>582</v>
      </c>
    </row>
    <row r="73" customFormat="false" ht="15" hidden="false" customHeight="false" outlineLevel="0" collapsed="false">
      <c r="D73" s="174" t="s">
        <v>583</v>
      </c>
    </row>
    <row r="74" customFormat="false" ht="15" hidden="false" customHeight="false" outlineLevel="0" collapsed="false">
      <c r="D74" s="174" t="s">
        <v>584</v>
      </c>
    </row>
    <row r="75" customFormat="false" ht="15" hidden="false" customHeight="false" outlineLevel="0" collapsed="false">
      <c r="D75" s="174" t="s">
        <v>585</v>
      </c>
    </row>
    <row r="76" customFormat="false" ht="15" hidden="false" customHeight="false" outlineLevel="0" collapsed="false">
      <c r="D76" s="174" t="s">
        <v>586</v>
      </c>
    </row>
    <row r="77" customFormat="false" ht="15" hidden="false" customHeight="false" outlineLevel="0" collapsed="false">
      <c r="D77" s="179" t="s">
        <v>587</v>
      </c>
    </row>
    <row r="80" customFormat="false" ht="17.25" hidden="false" customHeight="false" outlineLevel="0" collapsed="false">
      <c r="D80" s="168" t="s">
        <v>588</v>
      </c>
    </row>
    <row r="81" customFormat="false" ht="15" hidden="false" customHeight="false" outlineLevel="0" collapsed="false">
      <c r="D81" s="174" t="s">
        <v>390</v>
      </c>
    </row>
    <row r="82" customFormat="false" ht="15" hidden="false" customHeight="false" outlineLevel="0" collapsed="false">
      <c r="D82" s="174" t="s">
        <v>392</v>
      </c>
    </row>
    <row r="83" customFormat="false" ht="15" hidden="false" customHeight="false" outlineLevel="0" collapsed="false">
      <c r="D83" s="174" t="s">
        <v>189</v>
      </c>
    </row>
    <row r="84" customFormat="false" ht="15" hidden="false" customHeight="false" outlineLevel="0" collapsed="false">
      <c r="D84" s="174" t="s">
        <v>395</v>
      </c>
    </row>
    <row r="85" customFormat="false" ht="15" hidden="false" customHeight="false" outlineLevel="0" collapsed="false">
      <c r="D85" s="179" t="s">
        <v>397</v>
      </c>
    </row>
  </sheetData>
  <printOptions headings="false" gridLines="false" gridLinesSet="true" horizontalCentered="false" verticalCentered="false"/>
  <pageMargins left="0.25" right="0.25"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6D9F1"/>
    <pageSetUpPr fitToPage="false"/>
  </sheetPr>
  <dimension ref="B2:S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3" activeCellId="0" sqref="E13"/>
    </sheetView>
  </sheetViews>
  <sheetFormatPr defaultColWidth="9.09375" defaultRowHeight="15" zeroHeight="false" outlineLevelRow="0" outlineLevelCol="0"/>
  <cols>
    <col min="1" max="1" customWidth="true" hidden="false" style="95" width="3.56" collapsed="false" outlineLevel="0"/>
    <col min="2" max="2" customWidth="false" hidden="false" style="95" width="9.11" collapsed="false" outlineLevel="0"/>
    <col min="3" max="3" customWidth="true" hidden="false" style="95" width="19.11" collapsed="false" outlineLevel="0"/>
    <col min="4" max="4" customWidth="true" hidden="false" style="95" width="20.99" collapsed="false" outlineLevel="0"/>
    <col min="5" max="5" customWidth="true" hidden="false" style="95" width="28.44" collapsed="false" outlineLevel="0"/>
    <col min="6" max="6" customWidth="true" hidden="false" style="95" width="24.99" collapsed="false" outlineLevel="0"/>
    <col min="7" max="7" customWidth="true" hidden="false" style="95" width="51.66" collapsed="false" outlineLevel="0"/>
    <col min="8" max="8" customWidth="true" hidden="false" style="95" width="30.11" collapsed="false" outlineLevel="0"/>
    <col min="9" max="9" customWidth="true" hidden="false" style="95" width="32.66" collapsed="false" outlineLevel="0"/>
    <col min="10" max="10" customWidth="true" hidden="false" style="95" width="48.56" collapsed="false" outlineLevel="0"/>
    <col min="11" max="11" customWidth="true" hidden="false" style="95" width="29.89" collapsed="false" outlineLevel="0"/>
    <col min="12" max="12" customWidth="true" hidden="false" style="95" width="9.66" collapsed="false" outlineLevel="0"/>
    <col min="13" max="13" customWidth="true" hidden="false" style="95" width="10.0" collapsed="false" outlineLevel="0"/>
    <col min="14" max="14" customWidth="true" hidden="false" style="95" width="12.45" collapsed="false" outlineLevel="0"/>
    <col min="15" max="15" customWidth="true" hidden="false" style="95" width="21.67" collapsed="false" outlineLevel="0"/>
    <col min="16" max="16" customWidth="true" hidden="false" style="95" width="25.89" collapsed="false" outlineLevel="0"/>
    <col min="17" max="17" customWidth="true" hidden="false" style="95" width="24.99" collapsed="false" outlineLevel="0"/>
    <col min="18" max="18" customWidth="true" hidden="false" style="95" width="38.66" collapsed="false" outlineLevel="0"/>
    <col min="19" max="19" customWidth="true" hidden="false" style="95" width="23.11" collapsed="false" outlineLevel="0"/>
    <col min="20" max="20" customWidth="true" hidden="false" style="95" width="19.44" collapsed="false" outlineLevel="0"/>
    <col min="21" max="1024" customWidth="false" hidden="false" style="95" width="9.11" collapsed="false" outlineLevel="0"/>
  </cols>
  <sheetData>
    <row r="2" customFormat="false" ht="20.25" hidden="false" customHeight="false" outlineLevel="0" collapsed="false">
      <c r="C2" s="4" t="s">
        <v>589</v>
      </c>
      <c r="F2" s="183" t="s">
        <v>590</v>
      </c>
      <c r="G2" s="184" t="s">
        <v>0</v>
      </c>
    </row>
    <row r="3" customFormat="false" ht="15" hidden="false" customHeight="false" outlineLevel="0" collapsed="false">
      <c r="F3" s="185"/>
      <c r="G3" s="186" t="s">
        <v>591</v>
      </c>
    </row>
    <row r="4" customFormat="false" ht="15" hidden="false" customHeight="false" outlineLevel="0" collapsed="false">
      <c r="G4" s="111"/>
    </row>
    <row r="5" customFormat="false" ht="17.25" hidden="false" customHeight="false" outlineLevel="0" collapsed="false">
      <c r="B5" s="187" t="s">
        <v>592</v>
      </c>
      <c r="C5" s="187"/>
      <c r="D5" s="187"/>
      <c r="E5" s="187"/>
      <c r="F5" s="187"/>
      <c r="G5" s="187"/>
      <c r="H5" s="187"/>
    </row>
    <row r="6" customFormat="false" ht="15" hidden="false" customHeight="false" outlineLevel="0" collapsed="false">
      <c r="B6" s="188" t="s">
        <v>488</v>
      </c>
      <c r="C6" s="189" t="s">
        <v>489</v>
      </c>
      <c r="D6" s="190" t="s">
        <v>353</v>
      </c>
      <c r="E6" s="191" t="s">
        <v>492</v>
      </c>
      <c r="F6" s="191" t="s">
        <v>191</v>
      </c>
      <c r="G6" s="191" t="s">
        <v>494</v>
      </c>
      <c r="H6" s="192" t="s">
        <v>496</v>
      </c>
    </row>
    <row r="7" customFormat="false" ht="15" hidden="false" customHeight="false" outlineLevel="0" collapsed="false">
      <c r="B7" s="193"/>
      <c r="C7" s="194"/>
      <c r="D7" s="195"/>
      <c r="E7" s="196" t="s">
        <v>593</v>
      </c>
      <c r="F7" s="196" t="s">
        <v>594</v>
      </c>
      <c r="G7" s="196" t="s">
        <v>594</v>
      </c>
      <c r="H7" s="197" t="s">
        <v>595</v>
      </c>
    </row>
    <row r="8" customFormat="false" ht="18" hidden="false" customHeight="false" outlineLevel="0" collapsed="false">
      <c r="B8" s="198" t="s">
        <v>186</v>
      </c>
      <c r="C8" s="198" t="s">
        <v>596</v>
      </c>
      <c r="D8" s="198" t="s">
        <v>340</v>
      </c>
      <c r="E8" s="198" t="s">
        <v>597</v>
      </c>
      <c r="F8" s="198" t="s">
        <v>598</v>
      </c>
      <c r="G8" s="198" t="s">
        <v>599</v>
      </c>
      <c r="H8" s="198" t="s">
        <v>600</v>
      </c>
    </row>
    <row r="9" customFormat="false" ht="15" hidden="false" customHeight="false" outlineLevel="0" collapsed="false">
      <c r="B9" s="199" t="s">
        <v>188</v>
      </c>
      <c r="C9" s="199" t="s">
        <v>601</v>
      </c>
      <c r="D9" s="199" t="s">
        <v>343</v>
      </c>
      <c r="E9" s="199" t="s">
        <v>602</v>
      </c>
      <c r="F9" s="199" t="n">
        <v>2010</v>
      </c>
      <c r="G9" s="199" t="n">
        <v>2009</v>
      </c>
      <c r="H9" s="199" t="n">
        <v>2010</v>
      </c>
    </row>
    <row r="12" customFormat="false" ht="17.25" hidden="false" customHeight="false" outlineLevel="0" collapsed="false">
      <c r="B12" s="187" t="s">
        <v>603</v>
      </c>
      <c r="C12" s="187"/>
      <c r="D12" s="187"/>
      <c r="E12" s="187"/>
      <c r="F12" s="187"/>
      <c r="G12" s="187"/>
      <c r="H12" s="187"/>
      <c r="I12" s="187"/>
      <c r="J12" s="187"/>
      <c r="K12" s="187"/>
      <c r="L12" s="187"/>
      <c r="M12" s="187"/>
      <c r="N12" s="187"/>
      <c r="O12" s="187"/>
      <c r="P12" s="187"/>
      <c r="Q12" s="187"/>
      <c r="R12" s="187"/>
      <c r="S12" s="187"/>
    </row>
    <row r="13" customFormat="false" ht="15" hidden="false" customHeight="false" outlineLevel="0" collapsed="false">
      <c r="B13" s="200" t="s">
        <v>604</v>
      </c>
      <c r="C13" s="201" t="s">
        <v>499</v>
      </c>
      <c r="D13" s="201" t="s">
        <v>500</v>
      </c>
      <c r="E13" s="201" t="s">
        <v>501</v>
      </c>
      <c r="F13" s="201" t="s">
        <v>502</v>
      </c>
      <c r="G13" s="201" t="s">
        <v>503</v>
      </c>
      <c r="H13" s="201" t="s">
        <v>504</v>
      </c>
      <c r="I13" s="201" t="s">
        <v>505</v>
      </c>
      <c r="J13" s="201" t="s">
        <v>506</v>
      </c>
      <c r="K13" s="201" t="s">
        <v>507</v>
      </c>
      <c r="L13" s="202" t="s">
        <v>508</v>
      </c>
      <c r="M13" s="194" t="s">
        <v>381</v>
      </c>
      <c r="N13" s="201" t="s">
        <v>509</v>
      </c>
      <c r="O13" s="201" t="s">
        <v>510</v>
      </c>
      <c r="P13" s="201" t="s">
        <v>511</v>
      </c>
      <c r="Q13" s="202" t="s">
        <v>512</v>
      </c>
      <c r="R13" s="194" t="s">
        <v>513</v>
      </c>
      <c r="S13" s="203" t="s">
        <v>514</v>
      </c>
    </row>
    <row r="14" customFormat="false" ht="18" hidden="false" customHeight="false" outlineLevel="0" collapsed="false">
      <c r="B14" s="198" t="s">
        <v>605</v>
      </c>
      <c r="C14" s="198" t="s">
        <v>606</v>
      </c>
      <c r="D14" s="198" t="s">
        <v>607</v>
      </c>
      <c r="E14" s="198" t="s">
        <v>608</v>
      </c>
      <c r="F14" s="198" t="s">
        <v>609</v>
      </c>
      <c r="G14" s="198" t="s">
        <v>610</v>
      </c>
      <c r="H14" s="198" t="s">
        <v>611</v>
      </c>
      <c r="I14" s="198" t="s">
        <v>612</v>
      </c>
      <c r="J14" s="198" t="s">
        <v>613</v>
      </c>
      <c r="K14" s="198" t="s">
        <v>614</v>
      </c>
      <c r="L14" s="198" t="s">
        <v>462</v>
      </c>
      <c r="M14" s="198" t="s">
        <v>382</v>
      </c>
      <c r="N14" s="198" t="s">
        <v>464</v>
      </c>
      <c r="O14" s="198" t="s">
        <v>615</v>
      </c>
      <c r="P14" s="198" t="s">
        <v>616</v>
      </c>
      <c r="Q14" s="198" t="s">
        <v>617</v>
      </c>
      <c r="R14" s="198" t="s">
        <v>618</v>
      </c>
      <c r="S14" s="198" t="s">
        <v>619</v>
      </c>
    </row>
    <row r="15" customFormat="false" ht="15" hidden="false" customHeight="false" outlineLevel="0" collapsed="false">
      <c r="B15" s="199" t="n">
        <v>2010</v>
      </c>
      <c r="C15" s="199" t="s">
        <v>620</v>
      </c>
      <c r="D15" s="199" t="n">
        <v>754299</v>
      </c>
      <c r="E15" s="199" t="n">
        <v>74502</v>
      </c>
      <c r="F15" s="199" t="n">
        <v>179938</v>
      </c>
      <c r="G15" s="199" t="n">
        <v>134321</v>
      </c>
      <c r="H15" s="199" t="n">
        <v>110956</v>
      </c>
      <c r="I15" s="199" t="n">
        <v>336872</v>
      </c>
      <c r="J15" s="199" t="n">
        <v>9117</v>
      </c>
      <c r="K15" s="199" t="n">
        <v>7349</v>
      </c>
      <c r="L15" s="199" t="n">
        <v>40857</v>
      </c>
      <c r="M15" s="199" t="n">
        <v>28658</v>
      </c>
      <c r="N15" s="199" t="n">
        <v>725641</v>
      </c>
      <c r="O15" s="199" t="n">
        <v>137626</v>
      </c>
      <c r="P15" s="199" t="n">
        <v>262827</v>
      </c>
      <c r="Q15" s="199" t="n">
        <v>193986</v>
      </c>
      <c r="R15" s="199" t="n">
        <v>143807</v>
      </c>
      <c r="S15" s="199" t="n">
        <v>1489</v>
      </c>
    </row>
    <row r="16" customFormat="false" ht="15" hidden="false" customHeight="false" outlineLevel="0" collapsed="false">
      <c r="B16" s="199" t="n">
        <v>2009</v>
      </c>
      <c r="C16" s="199" t="s">
        <v>621</v>
      </c>
      <c r="D16" s="199" t="n">
        <v>0</v>
      </c>
      <c r="E16" s="199" t="n">
        <v>69940</v>
      </c>
      <c r="F16" s="199" t="n">
        <v>176674</v>
      </c>
      <c r="G16" s="199"/>
      <c r="H16" s="199"/>
      <c r="I16" s="199"/>
      <c r="J16" s="199"/>
      <c r="K16" s="199"/>
      <c r="L16" s="199" t="n">
        <v>41437</v>
      </c>
      <c r="M16" s="199"/>
      <c r="N16" s="199" t="n">
        <v>817527</v>
      </c>
      <c r="O16" s="199"/>
      <c r="P16" s="199" t="n">
        <v>264618</v>
      </c>
      <c r="Q16" s="199" t="n">
        <v>179283</v>
      </c>
      <c r="R16" s="199"/>
      <c r="S16" s="199" t="n">
        <v>-4633</v>
      </c>
    </row>
    <row r="19" customFormat="false" ht="17.25" hidden="false" customHeight="false" outlineLevel="0" collapsed="false">
      <c r="B19" s="187" t="s">
        <v>622</v>
      </c>
      <c r="C19" s="187"/>
      <c r="D19" s="187"/>
      <c r="E19" s="187"/>
      <c r="F19" s="187"/>
      <c r="G19" s="187"/>
      <c r="H19" s="187"/>
      <c r="I19" s="187"/>
      <c r="J19" s="187"/>
      <c r="K19" s="187"/>
    </row>
    <row r="20" customFormat="false" ht="15" hidden="false" customHeight="false" outlineLevel="0" collapsed="false">
      <c r="B20" s="200" t="s">
        <v>604</v>
      </c>
      <c r="C20" s="202" t="s">
        <v>499</v>
      </c>
      <c r="D20" s="204" t="s">
        <v>350</v>
      </c>
      <c r="E20" s="194" t="s">
        <v>517</v>
      </c>
      <c r="F20" s="202" t="s">
        <v>518</v>
      </c>
      <c r="G20" s="202" t="s">
        <v>519</v>
      </c>
      <c r="H20" s="202" t="s">
        <v>520</v>
      </c>
      <c r="I20" s="202" t="s">
        <v>521</v>
      </c>
      <c r="J20" s="201" t="s">
        <v>522</v>
      </c>
      <c r="K20" s="203" t="s">
        <v>376</v>
      </c>
    </row>
    <row r="21" customFormat="false" ht="18" hidden="false" customHeight="false" outlineLevel="0" collapsed="false">
      <c r="B21" s="198" t="s">
        <v>605</v>
      </c>
      <c r="C21" s="198" t="s">
        <v>606</v>
      </c>
      <c r="D21" s="198" t="s">
        <v>322</v>
      </c>
      <c r="E21" s="198" t="s">
        <v>623</v>
      </c>
      <c r="F21" s="198" t="s">
        <v>624</v>
      </c>
      <c r="G21" s="198" t="s">
        <v>625</v>
      </c>
      <c r="H21" s="198" t="s">
        <v>626</v>
      </c>
      <c r="I21" s="198" t="s">
        <v>521</v>
      </c>
      <c r="J21" s="198" t="s">
        <v>522</v>
      </c>
      <c r="K21" s="198" t="s">
        <v>376</v>
      </c>
    </row>
    <row r="22" customFormat="false" ht="15" hidden="false" customHeight="false" outlineLevel="0" collapsed="false">
      <c r="B22" s="199" t="n">
        <v>2010</v>
      </c>
      <c r="C22" s="199" t="s">
        <v>620</v>
      </c>
      <c r="D22" s="199" t="s">
        <v>325</v>
      </c>
      <c r="E22" s="199" t="s">
        <v>325</v>
      </c>
      <c r="F22" s="199" t="s">
        <v>325</v>
      </c>
      <c r="G22" s="199" t="s">
        <v>325</v>
      </c>
      <c r="H22" s="199" t="s">
        <v>324</v>
      </c>
      <c r="I22" s="199" t="s">
        <v>324</v>
      </c>
      <c r="J22" s="199" t="s">
        <v>324</v>
      </c>
      <c r="K22" s="199" t="s">
        <v>324</v>
      </c>
    </row>
    <row r="25" customFormat="false" ht="17.25" hidden="false" customHeight="false" outlineLevel="0" collapsed="false">
      <c r="B25" s="187" t="s">
        <v>627</v>
      </c>
      <c r="C25" s="187"/>
      <c r="D25" s="187"/>
    </row>
    <row r="26" customFormat="false" ht="15" hidden="false" customHeight="false" outlineLevel="0" collapsed="false">
      <c r="B26" s="205" t="s">
        <v>604</v>
      </c>
      <c r="C26" s="206" t="s">
        <v>525</v>
      </c>
      <c r="D26" s="203" t="s">
        <v>526</v>
      </c>
    </row>
    <row r="27" customFormat="false" ht="18" hidden="false" customHeight="false" outlineLevel="0" collapsed="false">
      <c r="B27" s="198" t="s">
        <v>628</v>
      </c>
      <c r="C27" s="198" t="s">
        <v>524</v>
      </c>
      <c r="D27" s="198" t="s">
        <v>629</v>
      </c>
    </row>
    <row r="28" customFormat="false" ht="15" hidden="false" customHeight="false" outlineLevel="0" collapsed="false">
      <c r="B28" s="207" t="s">
        <v>630</v>
      </c>
      <c r="C28" s="207" t="s">
        <v>433</v>
      </c>
      <c r="D28" s="207" t="s">
        <v>530</v>
      </c>
    </row>
    <row r="29" customFormat="false" ht="15" hidden="false" customHeight="false" outlineLevel="0" collapsed="false">
      <c r="B29" s="199" t="s">
        <v>631</v>
      </c>
      <c r="C29" s="199" t="s">
        <v>433</v>
      </c>
      <c r="D29" s="199" t="s">
        <v>531</v>
      </c>
    </row>
    <row r="30" customFormat="false" ht="15" hidden="false" customHeight="false" outlineLevel="0" collapsed="false">
      <c r="B30" s="199" t="s">
        <v>632</v>
      </c>
      <c r="C30" s="199" t="s">
        <v>433</v>
      </c>
      <c r="D30" s="199" t="s">
        <v>532</v>
      </c>
    </row>
    <row r="31" customFormat="false" ht="15" hidden="false" customHeight="false" outlineLevel="0" collapsed="false">
      <c r="B31" s="199" t="s">
        <v>633</v>
      </c>
      <c r="C31" s="199" t="s">
        <v>433</v>
      </c>
      <c r="D31" s="199" t="s">
        <v>533</v>
      </c>
    </row>
    <row r="32" customFormat="false" ht="15" hidden="false" customHeight="false" outlineLevel="0" collapsed="false">
      <c r="B32" s="199" t="s">
        <v>634</v>
      </c>
      <c r="C32" s="199" t="s">
        <v>433</v>
      </c>
      <c r="D32" s="199" t="s">
        <v>534</v>
      </c>
      <c r="F32" s="111"/>
      <c r="G32" s="111"/>
      <c r="H32" s="111"/>
      <c r="I32" s="111"/>
    </row>
    <row r="33" customFormat="false" ht="15" hidden="false" customHeight="false" outlineLevel="0" collapsed="false">
      <c r="B33" s="199" t="s">
        <v>635</v>
      </c>
      <c r="C33" s="199" t="s">
        <v>433</v>
      </c>
      <c r="D33" s="199" t="s">
        <v>535</v>
      </c>
    </row>
    <row r="34" customFormat="false" ht="15" hidden="false" customHeight="false" outlineLevel="0" collapsed="false">
      <c r="B34" s="199" t="s">
        <v>636</v>
      </c>
      <c r="C34" s="199" t="s">
        <v>433</v>
      </c>
      <c r="D34" s="199" t="s">
        <v>536</v>
      </c>
    </row>
    <row r="35" customFormat="false" ht="15" hidden="false" customHeight="false" outlineLevel="0" collapsed="false">
      <c r="B35" s="199" t="s">
        <v>637</v>
      </c>
      <c r="C35" s="199" t="s">
        <v>433</v>
      </c>
      <c r="D35" s="199" t="s">
        <v>537</v>
      </c>
    </row>
    <row r="36" customFormat="false" ht="15" hidden="false" customHeight="false" outlineLevel="0" collapsed="false">
      <c r="B36" s="199" t="s">
        <v>638</v>
      </c>
      <c r="C36" s="199" t="s">
        <v>433</v>
      </c>
      <c r="D36" s="199" t="s">
        <v>538</v>
      </c>
    </row>
    <row r="37" customFormat="false" ht="15" hidden="false" customHeight="false" outlineLevel="0" collapsed="false">
      <c r="B37" s="199" t="s">
        <v>639</v>
      </c>
      <c r="C37" s="199" t="s">
        <v>433</v>
      </c>
      <c r="D37" s="199" t="s">
        <v>539</v>
      </c>
    </row>
    <row r="38" customFormat="false" ht="15" hidden="false" customHeight="false" outlineLevel="0" collapsed="false">
      <c r="B38" s="199" t="s">
        <v>640</v>
      </c>
      <c r="C38" s="199" t="s">
        <v>433</v>
      </c>
      <c r="D38" s="199" t="s">
        <v>540</v>
      </c>
    </row>
    <row r="39" customFormat="false" ht="15" hidden="false" customHeight="false" outlineLevel="0" collapsed="false">
      <c r="B39" s="199" t="s">
        <v>641</v>
      </c>
      <c r="C39" s="199" t="s">
        <v>433</v>
      </c>
      <c r="D39" s="199" t="s">
        <v>541</v>
      </c>
    </row>
    <row r="40" customFormat="false" ht="15" hidden="false" customHeight="false" outlineLevel="0" collapsed="false">
      <c r="B40" s="199" t="s">
        <v>642</v>
      </c>
      <c r="C40" s="199" t="s">
        <v>433</v>
      </c>
      <c r="D40" s="199" t="s">
        <v>542</v>
      </c>
      <c r="H40" s="111"/>
      <c r="I40" s="111"/>
    </row>
    <row r="41" customFormat="false" ht="15" hidden="false" customHeight="false" outlineLevel="0" collapsed="false">
      <c r="B41" s="199" t="s">
        <v>643</v>
      </c>
      <c r="C41" s="199" t="s">
        <v>433</v>
      </c>
      <c r="D41" s="199" t="s">
        <v>543</v>
      </c>
    </row>
    <row r="42" customFormat="false" ht="15" hidden="false" customHeight="false" outlineLevel="0" collapsed="false">
      <c r="B42" s="199" t="s">
        <v>644</v>
      </c>
      <c r="C42" s="199" t="s">
        <v>433</v>
      </c>
      <c r="D42" s="199" t="s">
        <v>544</v>
      </c>
    </row>
    <row r="43" customFormat="false" ht="15" hidden="false" customHeight="false" outlineLevel="0" collapsed="false">
      <c r="B43" s="199" t="s">
        <v>645</v>
      </c>
      <c r="C43" s="199" t="s">
        <v>433</v>
      </c>
      <c r="D43" s="199" t="s">
        <v>545</v>
      </c>
    </row>
    <row r="44" customFormat="false" ht="15" hidden="false" customHeight="false" outlineLevel="0" collapsed="false">
      <c r="B44" s="199" t="s">
        <v>646</v>
      </c>
      <c r="C44" s="199" t="s">
        <v>433</v>
      </c>
      <c r="D44" s="199" t="s">
        <v>546</v>
      </c>
    </row>
    <row r="45" customFormat="false" ht="15" hidden="false" customHeight="false" outlineLevel="0" collapsed="false">
      <c r="B45" s="199" t="s">
        <v>647</v>
      </c>
      <c r="C45" s="199" t="s">
        <v>433</v>
      </c>
      <c r="D45" s="199" t="s">
        <v>547</v>
      </c>
    </row>
    <row r="46" customFormat="false" ht="15" hidden="false" customHeight="false" outlineLevel="0" collapsed="false">
      <c r="B46" s="199" t="s">
        <v>648</v>
      </c>
      <c r="C46" s="199" t="s">
        <v>433</v>
      </c>
      <c r="D46" s="199" t="s">
        <v>548</v>
      </c>
    </row>
    <row r="47" customFormat="false" ht="15" hidden="false" customHeight="false" outlineLevel="0" collapsed="false">
      <c r="B47" s="199" t="s">
        <v>649</v>
      </c>
      <c r="C47" s="199" t="s">
        <v>433</v>
      </c>
      <c r="D47" s="199" t="s">
        <v>549</v>
      </c>
    </row>
    <row r="48" customFormat="false" ht="15" hidden="false" customHeight="false" outlineLevel="0" collapsed="false">
      <c r="B48" s="199" t="s">
        <v>650</v>
      </c>
      <c r="C48" s="199" t="s">
        <v>433</v>
      </c>
      <c r="D48" s="199" t="s">
        <v>550</v>
      </c>
    </row>
    <row r="49" customFormat="false" ht="15" hidden="false" customHeight="false" outlineLevel="0" collapsed="false">
      <c r="B49" s="199" t="s">
        <v>651</v>
      </c>
      <c r="C49" s="199" t="s">
        <v>435</v>
      </c>
      <c r="D49" s="199" t="s">
        <v>551</v>
      </c>
    </row>
    <row r="50" customFormat="false" ht="15" hidden="false" customHeight="false" outlineLevel="0" collapsed="false">
      <c r="B50" s="199" t="s">
        <v>652</v>
      </c>
      <c r="C50" s="199" t="s">
        <v>435</v>
      </c>
      <c r="D50" s="199" t="s">
        <v>552</v>
      </c>
    </row>
    <row r="51" customFormat="false" ht="15" hidden="false" customHeight="false" outlineLevel="0" collapsed="false">
      <c r="B51" s="199" t="s">
        <v>653</v>
      </c>
      <c r="C51" s="199" t="s">
        <v>435</v>
      </c>
      <c r="D51" s="199" t="s">
        <v>553</v>
      </c>
    </row>
    <row r="52" customFormat="false" ht="15" hidden="false" customHeight="false" outlineLevel="0" collapsed="false">
      <c r="B52" s="199" t="s">
        <v>654</v>
      </c>
      <c r="C52" s="199" t="s">
        <v>435</v>
      </c>
      <c r="D52" s="199" t="s">
        <v>554</v>
      </c>
    </row>
    <row r="53" customFormat="false" ht="15" hidden="false" customHeight="false" outlineLevel="0" collapsed="false">
      <c r="B53" s="199" t="s">
        <v>655</v>
      </c>
      <c r="C53" s="199" t="s">
        <v>435</v>
      </c>
      <c r="D53" s="199" t="s">
        <v>555</v>
      </c>
    </row>
    <row r="54" customFormat="false" ht="15" hidden="false" customHeight="false" outlineLevel="0" collapsed="false">
      <c r="B54" s="199" t="s">
        <v>656</v>
      </c>
      <c r="C54" s="199" t="s">
        <v>435</v>
      </c>
      <c r="D54" s="199" t="s">
        <v>556</v>
      </c>
    </row>
    <row r="55" customFormat="false" ht="15" hidden="false" customHeight="false" outlineLevel="0" collapsed="false">
      <c r="B55" s="199" t="s">
        <v>657</v>
      </c>
      <c r="C55" s="199" t="s">
        <v>435</v>
      </c>
      <c r="D55" s="199" t="s">
        <v>557</v>
      </c>
    </row>
    <row r="56" customFormat="false" ht="15" hidden="false" customHeight="false" outlineLevel="0" collapsed="false">
      <c r="B56" s="199" t="s">
        <v>658</v>
      </c>
      <c r="C56" s="199" t="s">
        <v>435</v>
      </c>
      <c r="D56" s="199" t="s">
        <v>558</v>
      </c>
    </row>
    <row r="57" customFormat="false" ht="15" hidden="false" customHeight="false" outlineLevel="0" collapsed="false">
      <c r="B57" s="199" t="s">
        <v>659</v>
      </c>
      <c r="C57" s="199" t="s">
        <v>435</v>
      </c>
      <c r="D57" s="199" t="s">
        <v>559</v>
      </c>
    </row>
    <row r="58" customFormat="false" ht="15" hidden="false" customHeight="false" outlineLevel="0" collapsed="false">
      <c r="B58" s="199" t="s">
        <v>660</v>
      </c>
      <c r="C58" s="199" t="s">
        <v>435</v>
      </c>
      <c r="D58" s="199" t="s">
        <v>560</v>
      </c>
    </row>
    <row r="59" customFormat="false" ht="15" hidden="false" customHeight="false" outlineLevel="0" collapsed="false">
      <c r="B59" s="199" t="s">
        <v>661</v>
      </c>
      <c r="C59" s="199" t="s">
        <v>435</v>
      </c>
      <c r="D59" s="199" t="s">
        <v>561</v>
      </c>
    </row>
    <row r="60" customFormat="false" ht="15" hidden="false" customHeight="false" outlineLevel="0" collapsed="false">
      <c r="B60" s="199" t="s">
        <v>662</v>
      </c>
      <c r="C60" s="199" t="s">
        <v>435</v>
      </c>
      <c r="D60" s="199" t="s">
        <v>562</v>
      </c>
    </row>
    <row r="61" customFormat="false" ht="15" hidden="false" customHeight="false" outlineLevel="0" collapsed="false">
      <c r="B61" s="199" t="s">
        <v>663</v>
      </c>
      <c r="C61" s="199" t="s">
        <v>435</v>
      </c>
      <c r="D61" s="199" t="s">
        <v>563</v>
      </c>
    </row>
    <row r="62" customFormat="false" ht="15" hidden="false" customHeight="false" outlineLevel="0" collapsed="false">
      <c r="B62" s="199" t="s">
        <v>664</v>
      </c>
      <c r="C62" s="199" t="s">
        <v>435</v>
      </c>
      <c r="D62" s="199" t="s">
        <v>564</v>
      </c>
    </row>
    <row r="63" customFormat="false" ht="15" hidden="false" customHeight="false" outlineLevel="0" collapsed="false">
      <c r="B63" s="199" t="s">
        <v>665</v>
      </c>
      <c r="C63" s="199" t="s">
        <v>435</v>
      </c>
      <c r="D63" s="199" t="s">
        <v>565</v>
      </c>
    </row>
    <row r="64" customFormat="false" ht="15" hidden="false" customHeight="false" outlineLevel="0" collapsed="false">
      <c r="B64" s="199" t="s">
        <v>666</v>
      </c>
      <c r="C64" s="199" t="s">
        <v>435</v>
      </c>
      <c r="D64" s="199" t="s">
        <v>566</v>
      </c>
    </row>
    <row r="65" customFormat="false" ht="15" hidden="false" customHeight="false" outlineLevel="0" collapsed="false">
      <c r="B65" s="199" t="s">
        <v>667</v>
      </c>
      <c r="C65" s="199" t="s">
        <v>435</v>
      </c>
      <c r="D65" s="199" t="s">
        <v>567</v>
      </c>
    </row>
    <row r="66" customFormat="false" ht="15" hidden="false" customHeight="false" outlineLevel="0" collapsed="false">
      <c r="B66" s="199" t="s">
        <v>668</v>
      </c>
      <c r="C66" s="199" t="s">
        <v>435</v>
      </c>
      <c r="D66" s="199" t="s">
        <v>568</v>
      </c>
    </row>
    <row r="67" customFormat="false" ht="15" hidden="false" customHeight="false" outlineLevel="0" collapsed="false">
      <c r="B67" s="199" t="s">
        <v>669</v>
      </c>
      <c r="C67" s="199" t="s">
        <v>435</v>
      </c>
      <c r="D67" s="199" t="s">
        <v>550</v>
      </c>
    </row>
    <row r="68" customFormat="false" ht="15" hidden="false" customHeight="false" outlineLevel="0" collapsed="false">
      <c r="B68" s="199" t="s">
        <v>670</v>
      </c>
      <c r="C68" s="199" t="s">
        <v>435</v>
      </c>
      <c r="D68" s="199" t="s">
        <v>569</v>
      </c>
    </row>
    <row r="69" customFormat="false" ht="15" hidden="false" customHeight="false" outlineLevel="0" collapsed="false">
      <c r="B69" s="199" t="s">
        <v>671</v>
      </c>
      <c r="C69" s="199" t="s">
        <v>437</v>
      </c>
      <c r="D69" s="199" t="s">
        <v>551</v>
      </c>
    </row>
    <row r="70" customFormat="false" ht="15" hidden="false" customHeight="false" outlineLevel="0" collapsed="false">
      <c r="B70" s="199" t="s">
        <v>672</v>
      </c>
      <c r="C70" s="199" t="s">
        <v>437</v>
      </c>
      <c r="D70" s="199" t="s">
        <v>552</v>
      </c>
    </row>
    <row r="71" customFormat="false" ht="15" hidden="false" customHeight="false" outlineLevel="0" collapsed="false">
      <c r="B71" s="199" t="s">
        <v>673</v>
      </c>
      <c r="C71" s="199" t="s">
        <v>437</v>
      </c>
      <c r="D71" s="199" t="s">
        <v>553</v>
      </c>
    </row>
    <row r="72" customFormat="false" ht="15" hidden="false" customHeight="false" outlineLevel="0" collapsed="false">
      <c r="B72" s="199" t="s">
        <v>674</v>
      </c>
      <c r="C72" s="199" t="s">
        <v>437</v>
      </c>
      <c r="D72" s="199" t="s">
        <v>554</v>
      </c>
    </row>
    <row r="73" customFormat="false" ht="15" hidden="false" customHeight="false" outlineLevel="0" collapsed="false">
      <c r="B73" s="199" t="s">
        <v>675</v>
      </c>
      <c r="C73" s="199" t="s">
        <v>437</v>
      </c>
      <c r="D73" s="199" t="s">
        <v>555</v>
      </c>
    </row>
    <row r="74" customFormat="false" ht="15" hidden="false" customHeight="false" outlineLevel="0" collapsed="false">
      <c r="B74" s="199" t="s">
        <v>676</v>
      </c>
      <c r="C74" s="199" t="s">
        <v>437</v>
      </c>
      <c r="D74" s="199" t="s">
        <v>556</v>
      </c>
    </row>
    <row r="75" customFormat="false" ht="15" hidden="false" customHeight="false" outlineLevel="0" collapsed="false">
      <c r="B75" s="199" t="s">
        <v>677</v>
      </c>
      <c r="C75" s="199" t="s">
        <v>437</v>
      </c>
      <c r="D75" s="199" t="s">
        <v>557</v>
      </c>
    </row>
    <row r="76" customFormat="false" ht="15" hidden="false" customHeight="false" outlineLevel="0" collapsed="false">
      <c r="B76" s="199" t="s">
        <v>678</v>
      </c>
      <c r="C76" s="199" t="s">
        <v>437</v>
      </c>
      <c r="D76" s="199" t="s">
        <v>558</v>
      </c>
    </row>
    <row r="77" customFormat="false" ht="15" hidden="false" customHeight="false" outlineLevel="0" collapsed="false">
      <c r="B77" s="199" t="s">
        <v>679</v>
      </c>
      <c r="C77" s="199" t="s">
        <v>437</v>
      </c>
      <c r="D77" s="199" t="s">
        <v>559</v>
      </c>
    </row>
    <row r="78" customFormat="false" ht="15" hidden="false" customHeight="false" outlineLevel="0" collapsed="false">
      <c r="B78" s="199" t="s">
        <v>680</v>
      </c>
      <c r="C78" s="199" t="s">
        <v>437</v>
      </c>
      <c r="D78" s="199" t="s">
        <v>560</v>
      </c>
    </row>
    <row r="79" customFormat="false" ht="15" hidden="false" customHeight="false" outlineLevel="0" collapsed="false">
      <c r="B79" s="199" t="s">
        <v>681</v>
      </c>
      <c r="C79" s="199" t="s">
        <v>437</v>
      </c>
      <c r="D79" s="199" t="s">
        <v>561</v>
      </c>
    </row>
    <row r="80" customFormat="false" ht="15" hidden="false" customHeight="false" outlineLevel="0" collapsed="false">
      <c r="B80" s="199" t="s">
        <v>682</v>
      </c>
      <c r="C80" s="199" t="s">
        <v>437</v>
      </c>
      <c r="D80" s="199" t="s">
        <v>562</v>
      </c>
    </row>
    <row r="81" customFormat="false" ht="15" hidden="false" customHeight="false" outlineLevel="0" collapsed="false">
      <c r="B81" s="199" t="s">
        <v>683</v>
      </c>
      <c r="C81" s="199" t="s">
        <v>437</v>
      </c>
      <c r="D81" s="199" t="s">
        <v>563</v>
      </c>
    </row>
    <row r="82" customFormat="false" ht="15" hidden="false" customHeight="false" outlineLevel="0" collapsed="false">
      <c r="B82" s="199" t="s">
        <v>684</v>
      </c>
      <c r="C82" s="199" t="s">
        <v>437</v>
      </c>
      <c r="D82" s="199" t="s">
        <v>564</v>
      </c>
    </row>
    <row r="83" customFormat="false" ht="15" hidden="false" customHeight="false" outlineLevel="0" collapsed="false">
      <c r="B83" s="199" t="s">
        <v>685</v>
      </c>
      <c r="C83" s="199" t="s">
        <v>437</v>
      </c>
      <c r="D83" s="199" t="s">
        <v>565</v>
      </c>
    </row>
    <row r="84" customFormat="false" ht="15" hidden="false" customHeight="false" outlineLevel="0" collapsed="false">
      <c r="B84" s="199" t="s">
        <v>686</v>
      </c>
      <c r="C84" s="199" t="s">
        <v>437</v>
      </c>
      <c r="D84" s="199" t="s">
        <v>566</v>
      </c>
    </row>
    <row r="85" customFormat="false" ht="15" hidden="false" customHeight="false" outlineLevel="0" collapsed="false">
      <c r="B85" s="199" t="s">
        <v>687</v>
      </c>
      <c r="C85" s="199" t="s">
        <v>437</v>
      </c>
      <c r="D85" s="199" t="s">
        <v>570</v>
      </c>
    </row>
    <row r="86" customFormat="false" ht="15" hidden="false" customHeight="false" outlineLevel="0" collapsed="false">
      <c r="B86" s="199" t="s">
        <v>688</v>
      </c>
      <c r="C86" s="199" t="s">
        <v>437</v>
      </c>
      <c r="D86" s="199" t="s">
        <v>567</v>
      </c>
    </row>
    <row r="87" customFormat="false" ht="15" hidden="false" customHeight="false" outlineLevel="0" collapsed="false">
      <c r="B87" s="199" t="s">
        <v>689</v>
      </c>
      <c r="C87" s="199" t="s">
        <v>437</v>
      </c>
      <c r="D87" s="199" t="s">
        <v>571</v>
      </c>
    </row>
    <row r="88" customFormat="false" ht="15" hidden="false" customHeight="false" outlineLevel="0" collapsed="false">
      <c r="B88" s="199" t="s">
        <v>690</v>
      </c>
      <c r="C88" s="199" t="s">
        <v>437</v>
      </c>
      <c r="D88" s="199" t="s">
        <v>568</v>
      </c>
    </row>
    <row r="89" customFormat="false" ht="15" hidden="false" customHeight="false" outlineLevel="0" collapsed="false">
      <c r="B89" s="199" t="s">
        <v>691</v>
      </c>
      <c r="C89" s="199" t="s">
        <v>437</v>
      </c>
      <c r="D89" s="199" t="s">
        <v>550</v>
      </c>
    </row>
    <row r="90" customFormat="false" ht="15" hidden="false" customHeight="false" outlineLevel="0" collapsed="false">
      <c r="B90" s="199" t="s">
        <v>692</v>
      </c>
      <c r="C90" s="199" t="s">
        <v>437</v>
      </c>
      <c r="D90" s="199" t="s">
        <v>572</v>
      </c>
    </row>
  </sheetData>
  <mergeCells count="4">
    <mergeCell ref="B5:H5"/>
    <mergeCell ref="B12:S12"/>
    <mergeCell ref="B19:K19"/>
    <mergeCell ref="B25:D25"/>
  </mergeCells>
  <hyperlinks>
    <hyperlink ref="G2" r:id="rId1" display="www.commerzbank.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Company>American International Group</Company>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2009-01-07T15:12:03Z</dcterms:created>
  <dc:creator>Aditi Mody</dc:creator>
  <dc:language>en-US</dc:language>
  <cp:lastPrinted>2012-01-18T11:55:15Z</cp:lastPrinted>
  <dcterms:modified xsi:type="dcterms:W3CDTF">2022-12-23T19:48:10Z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